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Instrument" sheetId="2" state="visible" r:id="rId2"/>
    <sheet name="Codebook" sheetId="3" state="visible" r:id="rId3"/>
    <sheet name="Responses" sheetId="4" state="visible" r:id="rId4"/>
    <sheet name="Analysis" sheetId="5" state="visible" r:id="rId5"/>
  </sheets>
  <definedNames>
    <definedName name="_xlnm._FilterDatabase" localSheetId="1" hidden="1">'Instrument'!$A$1:$H$30</definedName>
    <definedName name="_xlnm._FilterDatabase" localSheetId="3" hidden="1">'Responses'!$A$1:$AH$59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C1917"/>
      <sz val="16"/>
    </font>
    <font>
      <name val="Calibri"/>
      <color rgb="001C1917"/>
      <sz val="11"/>
    </font>
    <font>
      <name val="Calibri"/>
      <b val="1"/>
      <color rgb="001C1917"/>
      <sz val="12"/>
    </font>
    <font>
      <name val="Calibri"/>
      <b val="1"/>
      <color rgb="00C21845"/>
      <sz val="11"/>
    </font>
    <font>
      <name val="Calibri"/>
      <b val="1"/>
      <color rgb="00FFFFFF"/>
      <sz val="11"/>
    </font>
    <font>
      <name val="Calibri"/>
      <i val="1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C4BDB3"/>
      </left>
      <right style="thin">
        <color rgb="00C4BDB3"/>
      </right>
      <top style="thin">
        <color rgb="00C4BDB3"/>
      </top>
      <bottom style="thin">
        <color rgb="00C4BDB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1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1845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1" t="inlineStr">
        <is>
          <t>Verdict — wishlist survey workbook</t>
        </is>
      </c>
    </row>
    <row r="2" ht="18" customHeight="1">
      <c r="A2" s="2" t="inlineStr"/>
    </row>
    <row r="3" ht="18" customHeight="1">
      <c r="A3" s="3" t="inlineStr">
        <is>
          <t>What this is</t>
        </is>
      </c>
    </row>
    <row r="4" ht="72" customHeight="1">
      <c r="A4" s="2" t="inlineStr">
        <is>
          <t>Supporting artefact for Part 3. Interviews stay the qualitative lock. This workbook is the survey database. The live fillable form is /survey/form/ on the case site. Responses tab is the panel for this case.</t>
        </is>
      </c>
    </row>
    <row r="5" ht="18" customHeight="1">
      <c r="A5" s="2" t="inlineStr"/>
    </row>
    <row r="6" ht="18" customHeight="1">
      <c r="A6" s="4" t="inlineStr">
        <is>
          <t>What is in Responses</t>
        </is>
      </c>
    </row>
    <row r="7" ht="48" customHeight="1">
      <c r="A7" s="2" t="inlineStr">
        <is>
          <t>Constructed case sample (same method as the six interview write-ups). Cities: Bengaluru, Hyderabad, Delhi, Gurugram, Noida, Coimbatore, plus out-of-target noise (Mumbai, Pune, non-metro, other ages/genders). in_target and q3_code fill by formula.</t>
        </is>
      </c>
    </row>
    <row r="8" ht="18" customHeight="1">
      <c r="A8" s="2" t="inlineStr"/>
    </row>
    <row r="9" ht="18" customHeight="1">
      <c r="A9" s="3" t="inlineStr">
        <is>
          <t>Host</t>
        </is>
      </c>
    </row>
    <row r="10" ht="18" customHeight="1">
      <c r="A10" s="2" t="inlineStr">
        <is>
          <t>Live form: case site /survey/form/. Database = this xlsx.</t>
        </is>
      </c>
    </row>
    <row r="11" ht="18" customHeight="1">
      <c r="A11" s="2" t="inlineStr"/>
    </row>
    <row r="12" ht="18" customHeight="1">
      <c r="A12" s="3" t="inlineStr">
        <is>
          <t>How the pieces fit</t>
        </is>
      </c>
    </row>
    <row r="13" ht="48" customHeight="1">
      <c r="A13" s="2" t="inlineStr">
        <is>
          <t>1. Instrument tab = every question. The live form uses the same IDs (S1. … Q3. …).</t>
        </is>
      </c>
    </row>
    <row r="14" ht="18" customHeight="1">
      <c r="A14" s="2" t="inlineStr">
        <is>
          <t>2. Responses tab = the case panel evaluators open.</t>
        </is>
      </c>
    </row>
    <row r="15" ht="48" customHeight="1">
      <c r="A15" s="2" t="inlineStr">
        <is>
          <t>3. Keep formula columns in_target / q3_code / off_app / legal_lever. Do not overwrite them.</t>
        </is>
      </c>
    </row>
    <row r="16" ht="18" customHeight="1">
      <c r="A16" s="2" t="inlineStr"/>
    </row>
    <row r="17" ht="18" customHeight="1">
      <c r="A17" s="3" t="inlineStr">
        <is>
          <t>in_target rule</t>
        </is>
      </c>
    </row>
    <row r="18" ht="48" customHeight="1">
      <c r="A18" s="2" t="inlineStr">
        <is>
          <t>Woman AND age 24–32 AND city in Bengaluru / Hyderabad / Delhi / Gurugram / Noida / Coimbatore AND wishlist 15+ AND delayed a save in 60 days AND opens Myntra weekly or more.</t>
        </is>
      </c>
    </row>
    <row r="19" ht="18" customHeight="1">
      <c r="A19" s="2" t="inlineStr"/>
    </row>
    <row r="20" ht="18" customHeight="1">
      <c r="A20" s="3" t="inlineStr">
        <is>
          <t>If sale-wait is the most common Q3 in target</t>
        </is>
      </c>
    </row>
    <row r="21" ht="48" customHeight="1">
      <c r="A21" s="2" t="inlineStr">
        <is>
          <t>Rank it. Do not ship a coupon. Check Q9 for ‘wait for a sale so a failed return hurts less’ — that is return-fear wearing a discount.</t>
        </is>
      </c>
    </row>
    <row r="22" ht="18" customHeight="1">
      <c r="A22" s="2" t="inlineStr"/>
    </row>
    <row r="23" ht="18" customHeight="1">
      <c r="A23" s="3" t="inlineStr">
        <is>
          <t>Tabs</t>
        </is>
      </c>
    </row>
    <row r="24" ht="18" customHeight="1">
      <c r="A24" s="2" t="inlineStr">
        <is>
          <t>Instrument — every question, type, options, brief mapping.</t>
        </is>
      </c>
    </row>
    <row r="25" ht="18" customHeight="1">
      <c r="A25" s="2" t="inlineStr">
        <is>
          <t>Codebook — how to recode Q3 / Q5 / Q8 / Q12.</t>
        </is>
      </c>
    </row>
    <row r="26" ht="48" customHeight="1">
      <c r="A26" s="2" t="inlineStr">
        <is>
          <t>Responses — the database. Row 1 is field IDs. Sample rows filled; spare rows below for live paste.</t>
        </is>
      </c>
    </row>
    <row r="27" ht="18" customHeight="1">
      <c r="A27" s="2" t="inlineStr">
        <is>
          <t>Analysis — counts that update from in_target / q3_code.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70" customWidth="1" min="5" max="5"/>
    <col width="70" customWidth="1" min="6" max="6"/>
    <col width="36" customWidth="1" min="7" max="7"/>
    <col width="22" customWidth="1" min="8" max="8"/>
  </cols>
  <sheetData>
    <row r="1">
      <c r="A1" s="5" t="inlineStr">
        <is>
          <t>id</t>
        </is>
      </c>
      <c r="B1" s="5" t="inlineStr">
        <is>
          <t>section</t>
        </is>
      </c>
      <c r="C1" s="5" t="inlineStr">
        <is>
          <t>type</t>
        </is>
      </c>
      <c r="D1" s="5" t="inlineStr">
        <is>
          <t>required</t>
        </is>
      </c>
      <c r="E1" s="5" t="inlineStr">
        <is>
          <t>title</t>
        </is>
      </c>
      <c r="F1" s="5" t="inlineStr">
        <is>
          <t>options</t>
        </is>
      </c>
      <c r="G1" s="5" t="inlineStr">
        <is>
          <t>maps_to</t>
        </is>
      </c>
      <c r="H1" s="5" t="inlineStr">
        <is>
          <t>skip</t>
        </is>
      </c>
    </row>
    <row r="2" ht="36" customHeight="1">
      <c r="A2" s="6" t="inlineStr">
        <is>
          <t>C1</t>
        </is>
      </c>
      <c r="B2" s="6" t="inlineStr">
        <is>
          <t>0. Consent</t>
        </is>
      </c>
      <c r="C2" s="6" t="inlineStr">
        <is>
          <t>mcq</t>
        </is>
      </c>
      <c r="D2" s="6" t="inlineStr">
        <is>
          <t>TRUE</t>
        </is>
      </c>
      <c r="E2" s="6" t="inlineStr">
        <is>
          <t>I understand this is anonymous and I can close the tab anytime.</t>
        </is>
      </c>
      <c r="F2" s="6" t="inlineStr">
        <is>
          <t>Yes, continue</t>
        </is>
      </c>
      <c r="G2" s="6" t="inlineStr">
        <is>
          <t>Consent</t>
        </is>
      </c>
      <c r="H2" s="6" t="inlineStr"/>
    </row>
    <row r="3" ht="36" customHeight="1">
      <c r="A3" s="6" t="inlineStr">
        <is>
          <t>S1</t>
        </is>
      </c>
      <c r="B3" s="6" t="inlineStr">
        <is>
          <t>1. Screener</t>
        </is>
      </c>
      <c r="C3" s="6" t="inlineStr">
        <is>
          <t>mcq</t>
        </is>
      </c>
      <c r="D3" s="6" t="inlineStr">
        <is>
          <t>TRUE</t>
        </is>
      </c>
      <c r="E3" s="6" t="inlineStr">
        <is>
          <t>Do you currently use the Myntra app or website?</t>
        </is>
      </c>
      <c r="F3" s="6" t="inlineStr">
        <is>
          <t>Yes | No</t>
        </is>
      </c>
      <c r="G3" s="6" t="inlineStr">
        <is>
          <t>Screener — Myntra user</t>
        </is>
      </c>
      <c r="H3" s="6" t="inlineStr">
        <is>
          <t>If No → Thanks</t>
        </is>
      </c>
    </row>
    <row r="4" ht="36" customHeight="1">
      <c r="A4" s="6" t="inlineStr">
        <is>
          <t>S2</t>
        </is>
      </c>
      <c r="B4" s="6" t="inlineStr">
        <is>
          <t>1. Screener</t>
        </is>
      </c>
      <c r="C4" s="6" t="inlineStr">
        <is>
          <t>mcq</t>
        </is>
      </c>
      <c r="D4" s="6" t="inlineStr">
        <is>
          <t>TRUE</t>
        </is>
      </c>
      <c r="E4" s="6" t="inlineStr">
        <is>
          <t>How do you describe yourself?</t>
        </is>
      </c>
      <c r="F4" s="6" t="inlineStr">
        <is>
          <t>Woman | Man | Non-binary | Prefer not to say</t>
        </is>
      </c>
      <c r="G4" s="6" t="inlineStr">
        <is>
          <t>Segment — gender</t>
        </is>
      </c>
      <c r="H4" s="6" t="inlineStr"/>
    </row>
    <row r="5" ht="36" customHeight="1">
      <c r="A5" s="6" t="inlineStr">
        <is>
          <t>S3</t>
        </is>
      </c>
      <c r="B5" s="6" t="inlineStr">
        <is>
          <t>1. Screener</t>
        </is>
      </c>
      <c r="C5" s="6" t="inlineStr">
        <is>
          <t>mcq</t>
        </is>
      </c>
      <c r="D5" s="6" t="inlineStr">
        <is>
          <t>TRUE</t>
        </is>
      </c>
      <c r="E5" s="6" t="inlineStr">
        <is>
          <t>Your age</t>
        </is>
      </c>
      <c r="F5" s="6" t="inlineStr">
        <is>
          <t>Under 24 | 24–32 | 33–40 | 41+</t>
        </is>
      </c>
      <c r="G5" s="6" t="inlineStr">
        <is>
          <t>Segment — age</t>
        </is>
      </c>
      <c r="H5" s="6" t="inlineStr"/>
    </row>
    <row r="6" ht="36" customHeight="1">
      <c r="A6" s="6" t="inlineStr">
        <is>
          <t>S4</t>
        </is>
      </c>
      <c r="B6" s="6" t="inlineStr">
        <is>
          <t>1. Screener</t>
        </is>
      </c>
      <c r="C6" s="6" t="inlineStr">
        <is>
          <t>dropdown</t>
        </is>
      </c>
      <c r="D6" s="6" t="inlineStr">
        <is>
          <t>TRUE</t>
        </is>
      </c>
      <c r="E6" s="6" t="inlineStr">
        <is>
          <t>Where do you live?</t>
        </is>
      </c>
      <c r="F6" s="6" t="inlineStr">
        <is>
          <t>Bengaluru | Hyderabad | Delhi | Gurugram | Noida | Coimbatore | Mumbai | Pune | Non-metro India</t>
        </is>
      </c>
      <c r="G6" s="6" t="inlineStr">
        <is>
          <t>Segment — city</t>
        </is>
      </c>
      <c r="H6" s="6" t="inlineStr"/>
    </row>
    <row r="7" ht="36" customHeight="1">
      <c r="A7" s="6" t="inlineStr">
        <is>
          <t>S5</t>
        </is>
      </c>
      <c r="B7" s="6" t="inlineStr">
        <is>
          <t>1. Screener</t>
        </is>
      </c>
      <c r="C7" s="6" t="inlineStr">
        <is>
          <t>mcq</t>
        </is>
      </c>
      <c r="D7" s="6" t="inlineStr">
        <is>
          <t>TRUE</t>
        </is>
      </c>
      <c r="E7" s="6" t="inlineStr">
        <is>
          <t>About how many items are in your Myntra wishlist right now?</t>
        </is>
      </c>
      <c r="F7" s="6" t="inlineStr">
        <is>
          <t>0 | 1–14 | 15–40 | 41–80 | 81+</t>
        </is>
      </c>
      <c r="G7" s="6" t="inlineStr">
        <is>
          <t>Wishlist depth</t>
        </is>
      </c>
      <c r="H7" s="6" t="inlineStr">
        <is>
          <t>If 0 → Thanks</t>
        </is>
      </c>
    </row>
    <row r="8" ht="36" customHeight="1">
      <c r="A8" s="6" t="inlineStr">
        <is>
          <t>S6</t>
        </is>
      </c>
      <c r="B8" s="6" t="inlineStr">
        <is>
          <t>1. Screener</t>
        </is>
      </c>
      <c r="C8" s="6" t="inlineStr">
        <is>
          <t>mcq</t>
        </is>
      </c>
      <c r="D8" s="6" t="inlineStr">
        <is>
          <t>TRUE</t>
        </is>
      </c>
      <c r="E8" s="6" t="inlineStr">
        <is>
          <t>In the last 60 days, did you save something on Myntra and not buy it?</t>
        </is>
      </c>
      <c r="F8" s="6" t="inlineStr">
        <is>
          <t>Yes | No</t>
        </is>
      </c>
      <c r="G8" s="6" t="inlineStr">
        <is>
          <t>Recent stall</t>
        </is>
      </c>
      <c r="H8" s="6" t="inlineStr"/>
    </row>
    <row r="9" ht="36" customHeight="1">
      <c r="A9" s="6" t="inlineStr">
        <is>
          <t>S7</t>
        </is>
      </c>
      <c r="B9" s="6" t="inlineStr">
        <is>
          <t>1. Screener</t>
        </is>
      </c>
      <c r="C9" s="6" t="inlineStr">
        <is>
          <t>mcq</t>
        </is>
      </c>
      <c r="D9" s="6" t="inlineStr">
        <is>
          <t>TRUE</t>
        </is>
      </c>
      <c r="E9" s="6" t="inlineStr">
        <is>
          <t>How often do you open Myntra?</t>
        </is>
      </c>
      <c r="F9" s="6" t="inlineStr">
        <is>
          <t>Most days | About weekly | A few times a month | Rarely</t>
        </is>
      </c>
      <c r="G9" s="6" t="inlineStr">
        <is>
          <t>Usage</t>
        </is>
      </c>
      <c r="H9" s="6" t="inlineStr"/>
    </row>
    <row r="10" ht="36" customHeight="1">
      <c r="A10" s="6" t="inlineStr">
        <is>
          <t>Q1</t>
        </is>
      </c>
      <c r="B10" s="6" t="inlineStr">
        <is>
          <t>2. The last unsold save</t>
        </is>
      </c>
      <c r="C10" s="6" t="inlineStr">
        <is>
          <t>mcq</t>
        </is>
      </c>
      <c r="D10" s="6" t="inlineStr">
        <is>
          <t>TRUE</t>
        </is>
      </c>
      <c r="E10" s="6" t="inlineStr">
        <is>
          <t>Think of the last item you hearted and still have not bought. Why did you save it that day?</t>
        </is>
      </c>
      <c r="F10" s="6" t="inlineStr">
        <is>
          <t>I meant to buy it soon | To compare with other pieces I saved | For an occasion / event coming up | Waiting for a sale or price drop | I just liked it — not sure I’ll buy | Other</t>
        </is>
      </c>
      <c r="G10" s="6" t="inlineStr">
        <is>
          <t>Part 3 — why they saved</t>
        </is>
      </c>
      <c r="H10" s="6" t="inlineStr"/>
    </row>
    <row r="11" ht="36" customHeight="1">
      <c r="A11" s="6" t="inlineStr">
        <is>
          <t>Q2</t>
        </is>
      </c>
      <c r="B11" s="6" t="inlineStr">
        <is>
          <t>2. The last unsold save</t>
        </is>
      </c>
      <c r="C11" s="6" t="inlineStr">
        <is>
          <t>mcq</t>
        </is>
      </c>
      <c r="D11" s="6" t="inlineStr">
        <is>
          <t>TRUE</t>
        </is>
      </c>
      <c r="E11" s="6" t="inlineStr">
        <is>
          <t>Do you still intend to buy that item in the next 30 days?</t>
        </is>
      </c>
      <c r="F11" s="6" t="inlineStr">
        <is>
          <t>Yes | Maybe | No</t>
        </is>
      </c>
      <c r="G11" s="6" t="inlineStr">
        <is>
          <t>Part 3 — still intend</t>
        </is>
      </c>
      <c r="H11" s="6" t="inlineStr"/>
    </row>
    <row r="12" ht="36" customHeight="1">
      <c r="A12" s="6" t="inlineStr">
        <is>
          <t>Q3</t>
        </is>
      </c>
      <c r="B12" s="6" t="inlineStr">
        <is>
          <t>2. The last unsold save</t>
        </is>
      </c>
      <c r="C12" s="6" t="inlineStr">
        <is>
          <t>mcq</t>
        </is>
      </c>
      <c r="D12" s="6" t="inlineStr">
        <is>
          <t>TRUE</t>
        </is>
      </c>
      <c r="E12" s="6" t="inlineStr">
        <is>
          <t>What is the MAIN thing stopping you from buying it?</t>
        </is>
      </c>
      <c r="F12" s="6" t="inlineStr">
        <is>
          <t>I don’t know if it will fit me / this brand’s cut | I’m worried about returns exchange-only or a seal tag | I don’t trust the size chart | I can’t choose between a few similar things I saved | I’m not sure the fabric / quality matches the photo | I’m not sure when or where I’d wear it | I’m waiting for a sale or discount | My wishlist is a mess — I forget it | I was never really going to buy it</t>
        </is>
      </c>
      <c r="G12" s="6" t="inlineStr">
        <is>
          <t>WhyWait primary barrier</t>
        </is>
      </c>
      <c r="H12" s="6" t="inlineStr"/>
    </row>
    <row r="13" ht="36" customHeight="1">
      <c r="A13" s="6" t="inlineStr">
        <is>
          <t>Q4</t>
        </is>
      </c>
      <c r="B13" s="6" t="inlineStr">
        <is>
          <t>2. The last unsold save</t>
        </is>
      </c>
      <c r="C13" s="6" t="inlineStr">
        <is>
          <t>multi</t>
        </is>
      </c>
      <c r="D13" s="6" t="inlineStr">
        <is>
          <t>TRUE</t>
        </is>
      </c>
      <c r="E13" s="6" t="inlineStr">
        <is>
          <t>After you already liked the photo what were you still unsure about?</t>
        </is>
      </c>
      <c r="F13" s="6" t="inlineStr">
        <is>
          <t>Fit on my body / height | Which size to pick | Whether I can return or exchange it | Whether the next size exists | Occasion / office-appropriateness | Quality vs photo | Price | Nothing — I was just bookmarking</t>
        </is>
      </c>
      <c r="G13" s="6" t="inlineStr">
        <is>
          <t>Uncertainties after identification</t>
        </is>
      </c>
      <c r="H13" s="6" t="inlineStr"/>
    </row>
    <row r="14" ht="36" customHeight="1">
      <c r="A14" s="6" t="inlineStr">
        <is>
          <t>Q5</t>
        </is>
      </c>
      <c r="B14" s="6" t="inlineStr">
        <is>
          <t>2. The last unsold save</t>
        </is>
      </c>
      <c r="C14" s="6" t="inlineStr">
        <is>
          <t>multi</t>
        </is>
      </c>
      <c r="D14" s="6" t="inlineStr">
        <is>
          <t>TRUE</t>
        </is>
      </c>
      <c r="E14" s="6" t="inlineStr">
        <is>
          <t>What would make you buy it this week?</t>
        </is>
      </c>
      <c r="F14" s="6" t="inlineStr">
        <is>
          <t>A kept-vs-returned story from people my size and height on the wishlist card | Return / seal-tag / exchange-only written as a sentence on the card | A suggested size that stays with the saved item | A side-by-side of the other pieces I saved on fit — not on discount % | A coupon or sale | A friend telling me to buy it | Nothing — I don’t intend to buy it</t>
        </is>
      </c>
      <c r="G14" s="6" t="inlineStr">
        <is>
          <t>What would make them purchase</t>
        </is>
      </c>
      <c r="H14" s="6" t="inlineStr"/>
    </row>
    <row r="15" ht="36" customHeight="1">
      <c r="A15" s="6" t="inlineStr">
        <is>
          <t>Q6</t>
        </is>
      </c>
      <c r="B15" s="6" t="inlineStr">
        <is>
          <t>2. The last unsold save</t>
        </is>
      </c>
      <c r="C15" s="6" t="inlineStr">
        <is>
          <t>multi</t>
        </is>
      </c>
      <c r="D15" s="6" t="inlineStr">
        <is>
          <t>TRUE</t>
        </is>
      </c>
      <c r="E15" s="6" t="inlineStr">
        <is>
          <t>What information do you still need that the wishlist does not give you today?</t>
        </is>
      </c>
      <c r="F15" s="6" t="inlineStr">
        <is>
          <t>How this sat on someone near my height | Whether people who wear my usual size kept it | Return policy in words not an icon | Ethnic size vs my top size labelled separately | Length / crop / rise for my height | Whether Try and Buy exists on this SKU | I have everything I need</t>
        </is>
      </c>
      <c r="G15" s="6" t="inlineStr">
        <is>
          <t>Info still needed</t>
        </is>
      </c>
      <c r="H15" s="6" t="inlineStr"/>
    </row>
    <row r="16" ht="36" customHeight="1">
      <c r="A16" s="6" t="inlineStr">
        <is>
          <t>Q7</t>
        </is>
      </c>
      <c r="B16" s="6" t="inlineStr">
        <is>
          <t>2. The last unsold save</t>
        </is>
      </c>
      <c r="C16" s="6" t="inlineStr">
        <is>
          <t>mcq</t>
        </is>
      </c>
      <c r="D16" s="6" t="inlineStr">
        <is>
          <t>TRUE</t>
        </is>
      </c>
      <c r="E16" s="6" t="inlineStr">
        <is>
          <t>Are you comparing this with other items you already saved?</t>
        </is>
      </c>
      <c r="F16" s="6" t="inlineStr">
        <is>
          <t>Yes — I will buy one of them | Yes — but I may buy none | No</t>
        </is>
      </c>
      <c r="G16" s="6" t="inlineStr">
        <is>
          <t>Alternatives</t>
        </is>
      </c>
      <c r="H16" s="6" t="inlineStr"/>
    </row>
    <row r="17" ht="36" customHeight="1">
      <c r="A17" s="6" t="inlineStr">
        <is>
          <t>Q8</t>
        </is>
      </c>
      <c r="B17" s="6" t="inlineStr">
        <is>
          <t>3. Outside the app</t>
        </is>
      </c>
      <c r="C17" s="6" t="inlineStr">
        <is>
          <t>multi</t>
        </is>
      </c>
      <c r="D17" s="6" t="inlineStr">
        <is>
          <t>TRUE</t>
        </is>
      </c>
      <c r="E17" s="6" t="inlineStr">
        <is>
          <t>Before you decide what do you do outside Myntra?</t>
        </is>
      </c>
      <c r="F17" s="6" t="inlineStr">
        <is>
          <t>WhatsApp / send photos to friends or family | YouTube haul / try-on | Instagram | Google size charts or reviews | Visit a store to touch fabric or try a similar cut | Order two sizes and return one (or used to) | Nothing — I decide in the app | I just wait and never decide</t>
        </is>
      </c>
      <c r="G17" s="6" t="inlineStr">
        <is>
          <t>Outside the app</t>
        </is>
      </c>
      <c r="H17" s="6" t="inlineStr"/>
    </row>
    <row r="18" ht="36" customHeight="1">
      <c r="A18" s="6" t="inlineStr">
        <is>
          <t>Q9</t>
        </is>
      </c>
      <c r="B18" s="6" t="inlineStr">
        <is>
          <t>3. Outside the app</t>
        </is>
      </c>
      <c r="C18" s="6" t="inlineStr">
        <is>
          <t>multi</t>
        </is>
      </c>
      <c r="D18" s="6" t="inlineStr">
        <is>
          <t>TRUE</t>
        </is>
      </c>
      <c r="E18" s="6" t="inlineStr">
        <is>
          <t>How do you reduce the risk of a wrong size today?</t>
        </is>
      </c>
      <c r="F18" s="6" t="inlineStr">
        <is>
          <t>Only buy brands I have kept before | Read 50+ reviews on the product page | Ask a friend their size in that brand | Order two sizes | Wait for a sale so a failed return hurts less | Don’t buy — leave it wishlisted</t>
        </is>
      </c>
      <c r="G18" s="6" t="inlineStr">
        <is>
          <t>How they cope</t>
        </is>
      </c>
      <c r="H18" s="6" t="inlineStr"/>
    </row>
    <row r="19" ht="36" customHeight="1">
      <c r="A19" s="6" t="inlineStr">
        <is>
          <t>Q10a</t>
        </is>
      </c>
      <c r="B19" s="6" t="inlineStr">
        <is>
          <t>3. Outside the app</t>
        </is>
      </c>
      <c r="C19" s="6" t="inlineStr">
        <is>
          <t>mcq</t>
        </is>
      </c>
      <c r="D19" s="6" t="inlineStr">
        <is>
          <t>TRUE</t>
        </is>
      </c>
      <c r="E19" s="6" t="inlineStr">
        <is>
          <t>Have you ever got a size explanation on the product page then opened the same item from wishlist later and found only the photo left?</t>
        </is>
      </c>
      <c r="F19" s="6" t="inlineStr">
        <is>
          <t>Yes | No | Not sure</t>
        </is>
      </c>
      <c r="G19" s="6" t="inlineStr">
        <is>
          <t>PDP advice does not travel</t>
        </is>
      </c>
      <c r="H19" s="6" t="inlineStr"/>
    </row>
    <row r="20" ht="36" customHeight="1">
      <c r="A20" s="6" t="inlineStr">
        <is>
          <t>Q11_fit</t>
        </is>
      </c>
      <c r="B20" s="6" t="inlineStr">
        <is>
          <t>4. Strength</t>
        </is>
      </c>
      <c r="C20" s="6" t="inlineStr">
        <is>
          <t>scale</t>
        </is>
      </c>
      <c r="D20" s="6" t="inlineStr">
        <is>
          <t>TRUE</t>
        </is>
      </c>
      <c r="E20" s="6" t="inlineStr">
        <is>
          <t>Fit / size uncertainty is why this saved item is not bought yet</t>
        </is>
      </c>
      <c r="F20" s="6" t="inlineStr">
        <is>
          <t>1 Not at all — 5 Exactly why</t>
        </is>
      </c>
      <c r="G20" s="6" t="inlineStr">
        <is>
          <t>Role of fit</t>
        </is>
      </c>
      <c r="H20" s="6" t="inlineStr"/>
    </row>
    <row r="21" ht="36" customHeight="1">
      <c r="A21" s="6" t="inlineStr">
        <is>
          <t>Q11_return</t>
        </is>
      </c>
      <c r="B21" s="6" t="inlineStr">
        <is>
          <t>4. Strength</t>
        </is>
      </c>
      <c r="C21" s="6" t="inlineStr">
        <is>
          <t>scale</t>
        </is>
      </c>
      <c r="D21" s="6" t="inlineStr">
        <is>
          <t>TRUE</t>
        </is>
      </c>
      <c r="E21" s="6" t="inlineStr">
        <is>
          <t>Return / seal-tag / exchange-only fear is why this saved item is not bought yet</t>
        </is>
      </c>
      <c r="F21" s="6" t="inlineStr">
        <is>
          <t>1 Not at all — 5 Exactly why</t>
        </is>
      </c>
      <c r="G21" s="6" t="inlineStr">
        <is>
          <t>Role of returns</t>
        </is>
      </c>
      <c r="H21" s="6" t="inlineStr"/>
    </row>
    <row r="22" ht="36" customHeight="1">
      <c r="A22" s="6" t="inlineStr">
        <is>
          <t>Q11_price</t>
        </is>
      </c>
      <c r="B22" s="6" t="inlineStr">
        <is>
          <t>4. Strength</t>
        </is>
      </c>
      <c r="C22" s="6" t="inlineStr">
        <is>
          <t>scale</t>
        </is>
      </c>
      <c r="D22" s="6" t="inlineStr">
        <is>
          <t>TRUE</t>
        </is>
      </c>
      <c r="E22" s="6" t="inlineStr">
        <is>
          <t>Price / waiting for a sale is why this saved item is not bought yet</t>
        </is>
      </c>
      <c r="F22" s="6" t="inlineStr">
        <is>
          <t>1 Not at all — 5 Exactly why</t>
        </is>
      </c>
      <c r="G22" s="6" t="inlineStr">
        <is>
          <t>Role of price (do not ship)</t>
        </is>
      </c>
      <c r="H22" s="6" t="inlineStr"/>
    </row>
    <row r="23" ht="36" customHeight="1">
      <c r="A23" s="6" t="inlineStr">
        <is>
          <t>Q11_occasion</t>
        </is>
      </c>
      <c r="B23" s="6" t="inlineStr">
        <is>
          <t>4. Strength</t>
        </is>
      </c>
      <c r="C23" s="6" t="inlineStr">
        <is>
          <t>scale</t>
        </is>
      </c>
      <c r="D23" s="6" t="inlineStr">
        <is>
          <t>TRUE</t>
        </is>
      </c>
      <c r="E23" s="6" t="inlineStr">
        <is>
          <t>Not knowing when I’d wear it is why this saved item is not bought yet</t>
        </is>
      </c>
      <c r="F23" s="6" t="inlineStr">
        <is>
          <t>1 Not at all — 5 Exactly why</t>
        </is>
      </c>
      <c r="G23" s="6" t="inlineStr">
        <is>
          <t>Role of occasion</t>
        </is>
      </c>
      <c r="H23" s="6" t="inlineStr"/>
    </row>
    <row r="24" ht="36" customHeight="1">
      <c r="A24" s="6" t="inlineStr">
        <is>
          <t>Q11_social</t>
        </is>
      </c>
      <c r="B24" s="6" t="inlineStr">
        <is>
          <t>4. Strength</t>
        </is>
      </c>
      <c r="C24" s="6" t="inlineStr">
        <is>
          <t>scale</t>
        </is>
      </c>
      <c r="D24" s="6" t="inlineStr">
        <is>
          <t>TRUE</t>
        </is>
      </c>
      <c r="E24" s="6" t="inlineStr">
        <is>
          <t>I need someone else to validate it before I buy</t>
        </is>
      </c>
      <c r="F24" s="6" t="inlineStr">
        <is>
          <t>1 Not at all — 5 Exactly why</t>
        </is>
      </c>
      <c r="G24" s="6" t="inlineStr">
        <is>
          <t>Role of social validation</t>
        </is>
      </c>
      <c r="H24" s="6" t="inlineStr"/>
    </row>
    <row r="25" ht="36" customHeight="1">
      <c r="A25" s="6" t="inlineStr">
        <is>
          <t>Q12</t>
        </is>
      </c>
      <c r="B25" s="6" t="inlineStr">
        <is>
          <t>4. Strength</t>
        </is>
      </c>
      <c r="C25" s="6" t="inlineStr">
        <is>
          <t>mcq</t>
        </is>
      </c>
      <c r="D25" s="6" t="inlineStr">
        <is>
          <t>TRUE</t>
        </is>
      </c>
      <c r="E25" s="6" t="inlineStr">
        <is>
          <t>For you the Myntra wishlist is mostly…</t>
        </is>
      </c>
      <c r="F25" s="6" t="inlineStr">
        <is>
          <t>A shopping list I intend to buy from | A mix | A moodboard / Pinterest</t>
        </is>
      </c>
      <c r="G25" s="6" t="inlineStr">
        <is>
          <t>Intent vs bookmark</t>
        </is>
      </c>
      <c r="H25" s="6" t="inlineStr"/>
    </row>
    <row r="26" ht="36" customHeight="1">
      <c r="A26" s="6" t="inlineStr">
        <is>
          <t>D1</t>
        </is>
      </c>
      <c r="B26" s="6" t="inlineStr">
        <is>
          <t>5. You</t>
        </is>
      </c>
      <c r="C26" s="6" t="inlineStr">
        <is>
          <t>mcq</t>
        </is>
      </c>
      <c r="D26" s="6" t="inlineStr">
        <is>
          <t>TRUE</t>
        </is>
      </c>
      <c r="E26" s="6" t="inlineStr">
        <is>
          <t>Height band</t>
        </is>
      </c>
      <c r="F26" s="6" t="inlineStr">
        <is>
          <t>Under 5'2" | 5'2"–5'5" | 5'5"–5'8" | Above 5'8"</t>
        </is>
      </c>
      <c r="G26" s="6" t="inlineStr">
        <is>
          <t>Height</t>
        </is>
      </c>
      <c r="H26" s="6" t="inlineStr"/>
    </row>
    <row r="27" ht="36" customHeight="1">
      <c r="A27" s="6" t="inlineStr">
        <is>
          <t>D2</t>
        </is>
      </c>
      <c r="B27" s="6" t="inlineStr">
        <is>
          <t>5. You</t>
        </is>
      </c>
      <c r="C27" s="6" t="inlineStr">
        <is>
          <t>dropdown</t>
        </is>
      </c>
      <c r="D27" s="6" t="inlineStr">
        <is>
          <t>TRUE</t>
        </is>
      </c>
      <c r="E27" s="6" t="inlineStr">
        <is>
          <t>Usual size in tops / western wear</t>
        </is>
      </c>
      <c r="F27" s="6" t="inlineStr">
        <is>
          <t>XS | S | M | L | XL | XXL | I don’t know</t>
        </is>
      </c>
      <c r="G27" s="6" t="inlineStr">
        <is>
          <t>Top size</t>
        </is>
      </c>
      <c r="H27" s="6" t="inlineStr"/>
    </row>
    <row r="28" ht="36" customHeight="1">
      <c r="A28" s="6" t="inlineStr">
        <is>
          <t>D3</t>
        </is>
      </c>
      <c r="B28" s="6" t="inlineStr">
        <is>
          <t>5. You</t>
        </is>
      </c>
      <c r="C28" s="6" t="inlineStr">
        <is>
          <t>mcq</t>
        </is>
      </c>
      <c r="D28" s="6" t="inlineStr">
        <is>
          <t>TRUE</t>
        </is>
      </c>
      <c r="E28" s="6" t="inlineStr">
        <is>
          <t>Is your usual kurta / ethnic size the same as your top size?</t>
        </is>
      </c>
      <c r="F28" s="6" t="inlineStr">
        <is>
          <t>Yes same letter | No — ethnic runs different | I don’t buy ethnic on Myntra</t>
        </is>
      </c>
      <c r="G28" s="6" t="inlineStr">
        <is>
          <t>Ethnic vs western size</t>
        </is>
      </c>
      <c r="H28" s="6" t="inlineStr"/>
    </row>
    <row r="29" ht="36" customHeight="1">
      <c r="A29" s="6" t="inlineStr">
        <is>
          <t>D4</t>
        </is>
      </c>
      <c r="B29" s="6" t="inlineStr">
        <is>
          <t>5. You</t>
        </is>
      </c>
      <c r="C29" s="6" t="inlineStr">
        <is>
          <t>mcq</t>
        </is>
      </c>
      <c r="D29" s="6" t="inlineStr">
        <is>
          <t>TRUE</t>
        </is>
      </c>
      <c r="E29" s="6" t="inlineStr">
        <is>
          <t>What’s in that wishlist more?</t>
        </is>
      </c>
      <c r="F29" s="6" t="inlineStr">
        <is>
          <t>Mostly workwear | Mix of workwear and occasion | Mostly occasion / ethnic | Mostly casual / trends</t>
        </is>
      </c>
      <c r="G29" s="6" t="inlineStr">
        <is>
          <t>Assortment mix</t>
        </is>
      </c>
      <c r="H29" s="6" t="inlineStr"/>
    </row>
    <row r="30" ht="36" customHeight="1">
      <c r="A30" s="6" t="inlineStr">
        <is>
          <t>Q13</t>
        </is>
      </c>
      <c r="B30" s="6" t="inlineStr">
        <is>
          <t>6. One sentence</t>
        </is>
      </c>
      <c r="C30" s="6" t="inlineStr">
        <is>
          <t>long</t>
        </is>
      </c>
      <c r="D30" s="6" t="inlineStr">
        <is>
          <t>FALSE</t>
        </is>
      </c>
      <c r="E30" s="6" t="inlineStr">
        <is>
          <t>In one or two sentences: why is that saved item still not purchased?</t>
        </is>
      </c>
      <c r="F30" s="6" t="inlineStr">
        <is>
          <t>(verbatim)</t>
        </is>
      </c>
      <c r="G30" s="6" t="inlineStr">
        <is>
          <t>Open freeze</t>
        </is>
      </c>
      <c r="H30" s="6" t="inlineStr"/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70" customWidth="1" min="3" max="3"/>
    <col width="55" customWidth="1" min="4" max="4"/>
  </cols>
  <sheetData>
    <row r="1">
      <c r="A1" s="5" t="inlineStr">
        <is>
          <t>field</t>
        </is>
      </c>
      <c r="B1" s="5" t="inlineStr">
        <is>
          <t>in_target_logic</t>
        </is>
      </c>
      <c r="C1" s="5" t="inlineStr">
        <is>
          <t>q3_code</t>
        </is>
      </c>
      <c r="D1" s="5" t="inlineStr">
        <is>
          <t>notes</t>
        </is>
      </c>
    </row>
    <row r="2" ht="40" customHeight="1">
      <c r="A2" s="6" t="inlineStr">
        <is>
          <t>S2</t>
        </is>
      </c>
      <c r="B2" s="6" t="inlineStr">
        <is>
          <t>Must be Woman for target</t>
        </is>
      </c>
      <c r="C2" s="6" t="inlineStr"/>
      <c r="D2" s="6" t="inlineStr">
        <is>
          <t>Keep all genders in the full file. Target cut is women only.</t>
        </is>
      </c>
    </row>
    <row r="3" ht="40" customHeight="1">
      <c r="A3" s="6" t="inlineStr">
        <is>
          <t>S3</t>
        </is>
      </c>
      <c r="B3" s="6" t="inlineStr">
        <is>
          <t>Must be 24–32</t>
        </is>
      </c>
      <c r="C3" s="6" t="inlineStr"/>
      <c r="D3" s="6" t="inlineStr">
        <is>
          <t>Under 24 and 33+ are the segment-diff rows.</t>
        </is>
      </c>
    </row>
    <row r="4" ht="40" customHeight="1">
      <c r="A4" s="6" t="inlineStr">
        <is>
          <t>S4</t>
        </is>
      </c>
      <c r="B4" s="6" t="inlineStr">
        <is>
          <t>Bengaluru / Hyderabad / Delhi / Gurugram / Noida / Coimbatore</t>
        </is>
      </c>
      <c r="C4" s="6" t="inlineStr"/>
      <c r="D4" s="6" t="inlineStr">
        <is>
          <t>Mumbai / Pune / non-metro are the segment-diff rows.</t>
        </is>
      </c>
    </row>
    <row r="5" ht="40" customHeight="1">
      <c r="A5" s="6" t="inlineStr">
        <is>
          <t>S5</t>
        </is>
      </c>
      <c r="B5" s="6" t="inlineStr">
        <is>
          <t>15–40 or 41–80 or 81+</t>
        </is>
      </c>
      <c r="C5" s="6" t="inlineStr">
        <is>
          <t> </t>
        </is>
      </c>
      <c r="D5" s="6" t="inlineStr">
        <is>
          <t>1–14 is too shallow vs interview screener.</t>
        </is>
      </c>
    </row>
    <row r="6" ht="40" customHeight="1">
      <c r="A6" s="6" t="inlineStr">
        <is>
          <t>S6</t>
        </is>
      </c>
      <c r="B6" s="6" t="inlineStr">
        <is>
          <t>Yes</t>
        </is>
      </c>
      <c r="C6" s="6" t="inlineStr"/>
      <c r="D6" s="6" t="inlineStr">
        <is>
          <t>Recent stall.</t>
        </is>
      </c>
    </row>
    <row r="7" ht="40" customHeight="1">
      <c r="A7" s="6" t="inlineStr">
        <is>
          <t>S7</t>
        </is>
      </c>
      <c r="B7" s="6" t="inlineStr">
        <is>
          <t>Most days or About weekly</t>
        </is>
      </c>
      <c r="C7" s="6" t="inlineStr"/>
      <c r="D7" s="6" t="inlineStr"/>
    </row>
    <row r="8" ht="40" customHeight="1">
      <c r="A8" s="6" t="inlineStr">
        <is>
          <t>Q3</t>
        </is>
      </c>
      <c r="B8" s="6" t="inlineStr"/>
      <c r="C8" s="6" t="inlineStr">
        <is>
          <t>fit="I don’t know if it will fit me / this brand’s cut"; return="I’m worried about returns"; chart="I don’t trust the size chart"; compare="I can’t choose between"; quality="fabric / quality"; occasion="when or where I’d wear it"; sale="waiting for a sale"; clutter="wishlist is a mess"; bookmark="never really going to buy it"</t>
        </is>
      </c>
      <c r="D8" s="6" t="inlineStr">
        <is>
          <t>Forced primary. Sale stays DISQUALIFIED even if it wins frequency.</t>
        </is>
      </c>
    </row>
    <row r="9" ht="40" customHeight="1">
      <c r="A9" s="6" t="inlineStr">
        <is>
          <t>Q5</t>
        </is>
      </c>
      <c r="B9" s="6" t="inlineStr"/>
      <c r="C9" s="6" t="inlineStr">
        <is>
          <t>legal_fit = kept-vs-returned story; legal_policy = return in words; legal_persist = suggested size stays; legal_compare = side-by-side on fit; illegal = coupon; social = friend; none = don’t intend</t>
        </is>
      </c>
      <c r="D9" s="6" t="inlineStr">
        <is>
          <t>Compare legal vs illegal levers inside the same person.</t>
        </is>
      </c>
    </row>
    <row r="10" ht="40" customHeight="1">
      <c r="A10" s="6" t="inlineStr">
        <is>
          <t>Q8</t>
        </is>
      </c>
      <c r="B10" s="6" t="inlineStr"/>
      <c r="C10" s="6" t="inlineStr">
        <is>
          <t>off_app = any of WhatsApp YouTube Instagram Google store two-sizes wait</t>
        </is>
      </c>
      <c r="D10" s="6" t="inlineStr">
        <is>
          <t>Nothing = decided in-app.</t>
        </is>
      </c>
    </row>
    <row r="11" ht="40" customHeight="1">
      <c r="A11" s="6" t="inlineStr">
        <is>
          <t>Q10a</t>
        </is>
      </c>
      <c r="B11" s="6" t="inlineStr"/>
      <c r="C11" s="6" t="inlineStr">
        <is>
          <t>mechanism_yes = Yes</t>
        </is>
      </c>
      <c r="D11" s="6" t="inlineStr">
        <is>
          <t>Supports Verdict on the saved card.</t>
        </is>
      </c>
    </row>
    <row r="12" ht="40" customHeight="1">
      <c r="A12" s="6" t="inlineStr">
        <is>
          <t>Q12</t>
        </is>
      </c>
      <c r="B12" s="6" t="inlineStr"/>
      <c r="C12" s="6" t="inlineStr">
        <is>
          <t>intent / mix / bookmark</t>
        </is>
      </c>
      <c r="D12" s="6" t="inlineStr">
        <is>
          <t>Bookmark → Still exploring. Do not convert.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D5AFE"/>
    <outlinePr summaryBelow="1" summaryRight="1"/>
    <pageSetUpPr/>
  </sheetPr>
  <dimension ref="A1:AH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5" t="inlineStr">
        <is>
          <t>Timestamp</t>
        </is>
      </c>
      <c r="B1" s="5" t="inlineStr">
        <is>
          <t>C1</t>
        </is>
      </c>
      <c r="C1" s="5" t="inlineStr">
        <is>
          <t>S1</t>
        </is>
      </c>
      <c r="D1" s="5" t="inlineStr">
        <is>
          <t>S2</t>
        </is>
      </c>
      <c r="E1" s="5" t="inlineStr">
        <is>
          <t>S3</t>
        </is>
      </c>
      <c r="F1" s="5" t="inlineStr">
        <is>
          <t>S4</t>
        </is>
      </c>
      <c r="G1" s="5" t="inlineStr">
        <is>
          <t>S5</t>
        </is>
      </c>
      <c r="H1" s="5" t="inlineStr">
        <is>
          <t>S6</t>
        </is>
      </c>
      <c r="I1" s="5" t="inlineStr">
        <is>
          <t>S7</t>
        </is>
      </c>
      <c r="J1" s="5" t="inlineStr">
        <is>
          <t>Q1</t>
        </is>
      </c>
      <c r="K1" s="5" t="inlineStr">
        <is>
          <t>Q2</t>
        </is>
      </c>
      <c r="L1" s="5" t="inlineStr">
        <is>
          <t>Q3</t>
        </is>
      </c>
      <c r="M1" s="5" t="inlineStr">
        <is>
          <t>Q4</t>
        </is>
      </c>
      <c r="N1" s="5" t="inlineStr">
        <is>
          <t>Q5</t>
        </is>
      </c>
      <c r="O1" s="5" t="inlineStr">
        <is>
          <t>Q6</t>
        </is>
      </c>
      <c r="P1" s="5" t="inlineStr">
        <is>
          <t>Q7</t>
        </is>
      </c>
      <c r="Q1" s="5" t="inlineStr">
        <is>
          <t>Q8</t>
        </is>
      </c>
      <c r="R1" s="5" t="inlineStr">
        <is>
          <t>Q9</t>
        </is>
      </c>
      <c r="S1" s="5" t="inlineStr">
        <is>
          <t>Q10a</t>
        </is>
      </c>
      <c r="T1" s="5" t="inlineStr">
        <is>
          <t>Q11_fit</t>
        </is>
      </c>
      <c r="U1" s="5" t="inlineStr">
        <is>
          <t>Q11_return</t>
        </is>
      </c>
      <c r="V1" s="5" t="inlineStr">
        <is>
          <t>Q11_price</t>
        </is>
      </c>
      <c r="W1" s="5" t="inlineStr">
        <is>
          <t>Q11_occasion</t>
        </is>
      </c>
      <c r="X1" s="5" t="inlineStr">
        <is>
          <t>Q11_social</t>
        </is>
      </c>
      <c r="Y1" s="5" t="inlineStr">
        <is>
          <t>Q12</t>
        </is>
      </c>
      <c r="Z1" s="5" t="inlineStr">
        <is>
          <t>D1</t>
        </is>
      </c>
      <c r="AA1" s="5" t="inlineStr">
        <is>
          <t>D2</t>
        </is>
      </c>
      <c r="AB1" s="5" t="inlineStr">
        <is>
          <t>D3</t>
        </is>
      </c>
      <c r="AC1" s="5" t="inlineStr">
        <is>
          <t>D4</t>
        </is>
      </c>
      <c r="AD1" s="5" t="inlineStr">
        <is>
          <t>Q13</t>
        </is>
      </c>
      <c r="AE1" s="5" t="inlineStr">
        <is>
          <t>in_target</t>
        </is>
      </c>
      <c r="AF1" s="5" t="inlineStr">
        <is>
          <t>q3_code</t>
        </is>
      </c>
      <c r="AG1" s="5" t="inlineStr">
        <is>
          <t>off_app</t>
        </is>
      </c>
      <c r="AH1" s="5" t="inlineStr">
        <is>
          <t>legal_lever</t>
        </is>
      </c>
    </row>
    <row r="2" ht="18" customHeight="1">
      <c r="A2" t="inlineStr">
        <is>
          <t>8/9/2026 14:08:06</t>
        </is>
      </c>
      <c r="B2" t="inlineStr">
        <is>
          <t>Yes, continue</t>
        </is>
      </c>
      <c r="C2" t="inlineStr">
        <is>
          <t>Yes</t>
        </is>
      </c>
      <c r="D2" t="inlineStr">
        <is>
          <t>Woman</t>
        </is>
      </c>
      <c r="E2" t="inlineStr">
        <is>
          <t>24–32</t>
        </is>
      </c>
      <c r="F2" t="inlineStr">
        <is>
          <t>Gurugram</t>
        </is>
      </c>
      <c r="G2" t="inlineStr">
        <is>
          <t>15–40</t>
        </is>
      </c>
      <c r="H2" t="inlineStr">
        <is>
          <t>Yes</t>
        </is>
      </c>
      <c r="I2" t="inlineStr">
        <is>
          <t>About weekly</t>
        </is>
      </c>
      <c r="J2" t="inlineStr">
        <is>
          <t>I meant to buy it soon</t>
        </is>
      </c>
      <c r="K2" t="inlineStr">
        <is>
          <t>Maybe</t>
        </is>
      </c>
      <c r="L2" t="inlineStr">
        <is>
          <t>I don’t trust the size chart</t>
        </is>
      </c>
      <c r="M2" t="inlineStr">
        <is>
          <t>Which size to pick, Fit on my body / height</t>
        </is>
      </c>
      <c r="N2" t="inlineStr">
        <is>
          <t>A kept-vs-returned story from people my size and height, on the wishlist card, A suggested size that stays with the saved item (not only on the product page), Return / seal-tag / exchange-only written as a sentence on the card, A friend telling me to buy it</t>
        </is>
      </c>
      <c r="O2" t="inlineStr">
        <is>
          <t>How this sat on someone near my height, Whether people who wear my usual size kept it, Length / crop / rise for my height</t>
        </is>
      </c>
      <c r="P2" t="inlineStr">
        <is>
          <t>No</t>
        </is>
      </c>
      <c r="Q2" t="inlineStr">
        <is>
          <t>WhatsApp / send photos to friends or family, YouTube haul / try-on, Instagram</t>
        </is>
      </c>
      <c r="R2" t="inlineStr">
        <is>
          <t>Only buy brands I have kept before, Read 50+ reviews on the product page</t>
        </is>
      </c>
      <c r="S2" t="inlineStr">
        <is>
          <t>Yes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2</t>
        </is>
      </c>
      <c r="X2" t="inlineStr">
        <is>
          <t>4</t>
        </is>
      </c>
      <c r="Y2" t="inlineStr">
        <is>
          <t>A mix</t>
        </is>
      </c>
      <c r="Z2" t="inlineStr">
        <is>
          <t>5'2"–5'5"</t>
        </is>
      </c>
      <c r="AA2" t="inlineStr">
        <is>
          <t>M</t>
        </is>
      </c>
      <c r="AB2" t="inlineStr">
        <is>
          <t>No — ethnic runs different</t>
        </is>
      </c>
      <c r="AC2" t="inlineStr">
        <is>
          <t>Mostly workwear</t>
        </is>
      </c>
      <c r="AD2" t="inlineStr">
        <is>
          <t>Theatre. People like me, not centimetres.</t>
        </is>
      </c>
      <c r="AE2">
        <f>IF(C2="","",IF(AND(D2="Woman",E2="24–32",OR(F2="Bengaluru",F2="Hyderabad",F2="Delhi",F2="Gurugram",F2="Noida",F2="Coimbatore"),OR(G2="15–40",G2="41–80",G2="81+"),H2="Yes",OR(I2="Most days",I2="About weekly")),"YES","NO"))</f>
        <v/>
      </c>
      <c r="AF2">
        <f>IF(L2="","",IF(ISNUMBER(SEARCH("fit",L2)),"fit",IF(ISNUMBER(SEARCH("return",L2))+ISNUMBER(SEARCH("seal",L2)),"return",IF(ISNUMBER(SEARCH("chart",L2)),"chart",IF(ISNUMBER(SEARCH("choose",L2)),"compare",IF(ISNUMBER(SEARCH("sale",L2)),"sale",IF(ISNUMBER(SEARCH("never",L2)),"bookmark",IF(ISNUMBER(SEARCH("mess",L2)),"clutter",IF(ISNUMBER(SEARCH("wear it",L2)),"occasion",IF(ISNUMBER(SEARCH("quality",L2)),"quality","other"))))))))))</f>
        <v/>
      </c>
      <c r="AG2">
        <f>IF(Q2="","",IF(OR(ISNUMBER(SEARCH("WhatsApp",Q2)),ISNUMBER(SEARCH("YouTube",Q2)),ISNUMBER(SEARCH("Instagram",Q2)),ISNUMBER(SEARCH("Google",Q2)),ISNUMBER(SEARCH("store",Q2)),ISNUMBER(SEARCH("two sizes",Q2))),"off_app","in_app"))</f>
        <v/>
      </c>
      <c r="AH2">
        <f>IF(N2="","",IF(ISNUMBER(SEARCH("coupon",N2))+ISNUMBER(SEARCH("sale",N2))+ISNUMBER(SEARCH("kept-vs-returned",N2))+ISNUMBER(SEARCH("sentence",N2))+ISNUMBER(SEARCH("stays with",N2))+ISNUMBER(SEARCH("side-by-side",N2)),IF(ISNUMBER(SEARCH("kept-vs-returned",N2))+ISNUMBER(SEARCH("sentence",N2))+ISNUMBER(SEARCH("stays with",N2))+ISNUMBER(SEARCH("side-by-side",N2)),"legal_present",IF(ISNUMBER(SEARCH("coupon",N2))+ISNUMBER(SEARCH("sale",N2)),"coupon_only","other")),"other"))</f>
        <v/>
      </c>
    </row>
    <row r="3" ht="18" customHeight="1">
      <c r="A3" t="inlineStr">
        <is>
          <t>8/10/2026 5:36:42</t>
        </is>
      </c>
      <c r="B3" t="inlineStr">
        <is>
          <t>Yes, continue</t>
        </is>
      </c>
      <c r="C3" t="inlineStr">
        <is>
          <t>Yes</t>
        </is>
      </c>
      <c r="D3" t="inlineStr">
        <is>
          <t>Woman</t>
        </is>
      </c>
      <c r="E3" t="inlineStr">
        <is>
          <t>24–32</t>
        </is>
      </c>
      <c r="F3" t="inlineStr">
        <is>
          <t>Noida</t>
        </is>
      </c>
      <c r="G3" t="inlineStr">
        <is>
          <t>15–40</t>
        </is>
      </c>
      <c r="H3" t="inlineStr">
        <is>
          <t>Yes</t>
        </is>
      </c>
      <c r="I3" t="inlineStr">
        <is>
          <t>About weekly</t>
        </is>
      </c>
      <c r="J3" t="inlineStr">
        <is>
          <t>I meant to buy it soon</t>
        </is>
      </c>
      <c r="K3" t="inlineStr">
        <is>
          <t>Yes</t>
        </is>
      </c>
      <c r="L3" t="inlineStr">
        <is>
          <t>I don’t know if it will fit me / this brand’s cut</t>
        </is>
      </c>
      <c r="M3" t="inlineStr">
        <is>
          <t>Fit on my body / height, Which size to pick</t>
        </is>
      </c>
      <c r="N3" t="inlineStr">
        <is>
          <t>A kept-vs-returned story from people my size and height, on the wishlist card, A suggested size that stays with the saved item (not only on the product page)</t>
        </is>
      </c>
      <c r="O3" t="inlineStr">
        <is>
          <t>How this sat on someone near my height, Whether people who wear my usual size kept it, Length / crop / rise for my height, Ethnic size vs my top size, labelled separately</t>
        </is>
      </c>
      <c r="P3" t="inlineStr">
        <is>
          <t>No</t>
        </is>
      </c>
      <c r="Q3" t="inlineStr">
        <is>
          <t>WhatsApp / send photos to friends or family, YouTube haul / try-on, Visit a store to touch fabric or try a similar cut</t>
        </is>
      </c>
      <c r="R3" t="inlineStr">
        <is>
          <t>Only buy brands I have kept before, Read 50+ reviews on the product page, Ask a friend their size in that brand</t>
        </is>
      </c>
      <c r="S3" t="inlineStr">
        <is>
          <t>Yes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A shopping list I intend to buy from</t>
        </is>
      </c>
      <c r="Z3" t="inlineStr">
        <is>
          <t>5'2"–5'5"</t>
        </is>
      </c>
      <c r="AA3" t="inlineStr">
        <is>
          <t>M</t>
        </is>
      </c>
      <c r="AB3" t="inlineStr">
        <is>
          <t>No — ethnic runs different</t>
        </is>
      </c>
      <c r="AC3" t="inlineStr">
        <is>
          <t>Mostly workwear</t>
        </is>
      </c>
      <c r="AD3" t="inlineStr"/>
      <c r="AE3">
        <f>IF(C3="","",IF(AND(D3="Woman",E3="24–32",OR(F3="Bengaluru",F3="Hyderabad",F3="Delhi",F3="Gurugram",F3="Noida",F3="Coimbatore"),OR(G3="15–40",G3="41–80",G3="81+"),H3="Yes",OR(I3="Most days",I3="About weekly")),"YES","NO"))</f>
        <v/>
      </c>
      <c r="AF3">
        <f>IF(L3="","",IF(ISNUMBER(SEARCH("fit",L3)),"fit",IF(ISNUMBER(SEARCH("return",L3))+ISNUMBER(SEARCH("seal",L3)),"return",IF(ISNUMBER(SEARCH("chart",L3)),"chart",IF(ISNUMBER(SEARCH("choose",L3)),"compare",IF(ISNUMBER(SEARCH("sale",L3)),"sale",IF(ISNUMBER(SEARCH("never",L3)),"bookmark",IF(ISNUMBER(SEARCH("mess",L3)),"clutter",IF(ISNUMBER(SEARCH("wear it",L3)),"occasion",IF(ISNUMBER(SEARCH("quality",L3)),"quality","other"))))))))))</f>
        <v/>
      </c>
      <c r="AG3">
        <f>IF(Q3="","",IF(OR(ISNUMBER(SEARCH("WhatsApp",Q3)),ISNUMBER(SEARCH("YouTube",Q3)),ISNUMBER(SEARCH("Instagram",Q3)),ISNUMBER(SEARCH("Google",Q3)),ISNUMBER(SEARCH("store",Q3)),ISNUMBER(SEARCH("two sizes",Q3))),"off_app","in_app"))</f>
        <v/>
      </c>
      <c r="AH3">
        <f>IF(N3="","",IF(ISNUMBER(SEARCH("coupon",N3))+ISNUMBER(SEARCH("sale",N3))+ISNUMBER(SEARCH("kept-vs-returned",N3))+ISNUMBER(SEARCH("sentence",N3))+ISNUMBER(SEARCH("stays with",N3))+ISNUMBER(SEARCH("side-by-side",N3)),IF(ISNUMBER(SEARCH("kept-vs-returned",N3))+ISNUMBER(SEARCH("sentence",N3))+ISNUMBER(SEARCH("stays with",N3))+ISNUMBER(SEARCH("side-by-side",N3)),"legal_present",IF(ISNUMBER(SEARCH("coupon",N3))+ISNUMBER(SEARCH("sale",N3)),"coupon_only","other")),"other"))</f>
        <v/>
      </c>
    </row>
    <row r="4" ht="18" customHeight="1">
      <c r="A4" t="inlineStr">
        <is>
          <t>8/10/2026 9:55:17</t>
        </is>
      </c>
      <c r="B4" t="inlineStr">
        <is>
          <t>Yes, continue</t>
        </is>
      </c>
      <c r="C4" t="inlineStr">
        <is>
          <t>Yes</t>
        </is>
      </c>
      <c r="D4" t="inlineStr">
        <is>
          <t>Woman</t>
        </is>
      </c>
      <c r="E4" t="inlineStr">
        <is>
          <t>24–32</t>
        </is>
      </c>
      <c r="F4" t="inlineStr">
        <is>
          <t>Non-metro India</t>
        </is>
      </c>
      <c r="G4" t="inlineStr">
        <is>
          <t>41–80</t>
        </is>
      </c>
      <c r="H4" t="inlineStr">
        <is>
          <t>Yes</t>
        </is>
      </c>
      <c r="I4" t="inlineStr">
        <is>
          <t>Rarely</t>
        </is>
      </c>
      <c r="J4" t="inlineStr">
        <is>
          <t>I just liked it — not sure I’ll buy</t>
        </is>
      </c>
      <c r="K4" t="inlineStr">
        <is>
          <t>No</t>
        </is>
      </c>
      <c r="L4" t="inlineStr">
        <is>
          <t>My wishlist is a mess — I forget it</t>
        </is>
      </c>
      <c r="M4" t="inlineStr">
        <is>
          <t>Nothing — I was just bookmarking</t>
        </is>
      </c>
      <c r="N4" t="inlineStr">
        <is>
          <t>Nothing — I don’t intend to buy it</t>
        </is>
      </c>
      <c r="O4" t="inlineStr">
        <is>
          <t>How this sat on someone near my height, Return policy in words, not an icon</t>
        </is>
      </c>
      <c r="P4" t="inlineStr">
        <is>
          <t>No</t>
        </is>
      </c>
      <c r="Q4" t="inlineStr">
        <is>
          <t>WhatsApp / send photos to friends or family, YouTube haul / try-on, Instagram</t>
        </is>
      </c>
      <c r="R4" t="inlineStr">
        <is>
          <t>Only buy brands I have kept before, Read 50+ reviews on the product page, Don’t buy — leave it wishlisted</t>
        </is>
      </c>
      <c r="S4" t="inlineStr">
        <is>
          <t>Yes</t>
        </is>
      </c>
      <c r="T4" t="inlineStr">
        <is>
          <t>3</t>
        </is>
      </c>
      <c r="U4" t="inlineStr">
        <is>
          <t>3</t>
        </is>
      </c>
      <c r="V4" t="inlineStr">
        <is>
          <t>2</t>
        </is>
      </c>
      <c r="W4" t="inlineStr">
        <is>
          <t>2</t>
        </is>
      </c>
      <c r="X4" t="inlineStr">
        <is>
          <t>4</t>
        </is>
      </c>
      <c r="Y4" t="inlineStr">
        <is>
          <t>A mix</t>
        </is>
      </c>
      <c r="Z4" t="inlineStr">
        <is>
          <t>Under 5'2"</t>
        </is>
      </c>
      <c r="AA4" t="inlineStr">
        <is>
          <t>M</t>
        </is>
      </c>
      <c r="AB4" t="inlineStr">
        <is>
          <t>Yes, same letter</t>
        </is>
      </c>
      <c r="AC4" t="inlineStr">
        <is>
          <t>Mix of workwear and occasion</t>
        </is>
      </c>
      <c r="AD4" t="inlineStr">
        <is>
          <t>96 items. I lose the one I actually meant to buy.</t>
        </is>
      </c>
      <c r="AE4">
        <f>IF(C4="","",IF(AND(D4="Woman",E4="24–32",OR(F4="Bengaluru",F4="Hyderabad",F4="Delhi",F4="Gurugram",F4="Noida",F4="Coimbatore"),OR(G4="15–40",G4="41–80",G4="81+"),H4="Yes",OR(I4="Most days",I4="About weekly")),"YES","NO"))</f>
        <v/>
      </c>
      <c r="AF4">
        <f>IF(L4="","",IF(ISNUMBER(SEARCH("fit",L4)),"fit",IF(ISNUMBER(SEARCH("return",L4))+ISNUMBER(SEARCH("seal",L4)),"return",IF(ISNUMBER(SEARCH("chart",L4)),"chart",IF(ISNUMBER(SEARCH("choose",L4)),"compare",IF(ISNUMBER(SEARCH("sale",L4)),"sale",IF(ISNUMBER(SEARCH("never",L4)),"bookmark",IF(ISNUMBER(SEARCH("mess",L4)),"clutter",IF(ISNUMBER(SEARCH("wear it",L4)),"occasion",IF(ISNUMBER(SEARCH("quality",L4)),"quality","other"))))))))))</f>
        <v/>
      </c>
      <c r="AG4">
        <f>IF(Q4="","",IF(OR(ISNUMBER(SEARCH("WhatsApp",Q4)),ISNUMBER(SEARCH("YouTube",Q4)),ISNUMBER(SEARCH("Instagram",Q4)),ISNUMBER(SEARCH("Google",Q4)),ISNUMBER(SEARCH("store",Q4)),ISNUMBER(SEARCH("two sizes",Q4))),"off_app","in_app"))</f>
        <v/>
      </c>
      <c r="AH4">
        <f>IF(N4="","",IF(ISNUMBER(SEARCH("coupon",N4))+ISNUMBER(SEARCH("sale",N4))+ISNUMBER(SEARCH("kept-vs-returned",N4))+ISNUMBER(SEARCH("sentence",N4))+ISNUMBER(SEARCH("stays with",N4))+ISNUMBER(SEARCH("side-by-side",N4)),IF(ISNUMBER(SEARCH("kept-vs-returned",N4))+ISNUMBER(SEARCH("sentence",N4))+ISNUMBER(SEARCH("stays with",N4))+ISNUMBER(SEARCH("side-by-side",N4)),"legal_present",IF(ISNUMBER(SEARCH("coupon",N4))+ISNUMBER(SEARCH("sale",N4)),"coupon_only","other")),"other"))</f>
        <v/>
      </c>
    </row>
    <row r="5" ht="18" customHeight="1">
      <c r="A5" t="inlineStr">
        <is>
          <t>8/10/2026 10:42:47</t>
        </is>
      </c>
      <c r="B5" t="inlineStr">
        <is>
          <t>Yes, continue</t>
        </is>
      </c>
      <c r="C5" t="inlineStr">
        <is>
          <t>Yes</t>
        </is>
      </c>
      <c r="D5" t="inlineStr">
        <is>
          <t>Woman</t>
        </is>
      </c>
      <c r="E5" t="inlineStr">
        <is>
          <t>33–40</t>
        </is>
      </c>
      <c r="F5" t="inlineStr">
        <is>
          <t>Bengaluru</t>
        </is>
      </c>
      <c r="G5" t="inlineStr">
        <is>
          <t>15–40</t>
        </is>
      </c>
      <c r="H5" t="inlineStr">
        <is>
          <t>Yes</t>
        </is>
      </c>
      <c r="I5" t="inlineStr">
        <is>
          <t>About weekly</t>
        </is>
      </c>
      <c r="J5" t="inlineStr">
        <is>
          <t>For an occasion / event coming up</t>
        </is>
      </c>
      <c r="K5" t="inlineStr">
        <is>
          <t>Maybe</t>
        </is>
      </c>
      <c r="L5" t="inlineStr">
        <is>
          <t>I’m not sure when or where I’d wear it</t>
        </is>
      </c>
      <c r="M5" t="inlineStr">
        <is>
          <t>Occasion / office-appropriateness</t>
        </is>
      </c>
      <c r="N5" t="inlineStr">
        <is>
          <t>A kept-vs-returned story from people my size and height, on the wishlist card, A suggested size that stays with the saved item (not only on the product page)</t>
        </is>
      </c>
      <c r="O5" t="inlineStr">
        <is>
          <t>How this sat on someone near my height, Return policy in words, not an icon</t>
        </is>
      </c>
      <c r="P5" t="inlineStr">
        <is>
          <t>No</t>
        </is>
      </c>
      <c r="Q5" t="inlineStr">
        <is>
          <t>WhatsApp / send photos to friends or family, YouTube haul / try-on, Google size charts or reviews</t>
        </is>
      </c>
      <c r="R5" t="inlineStr">
        <is>
          <t>Only buy brands I have kept before, Read 50+ reviews on the product page, Ask a friend their size in that brand</t>
        </is>
      </c>
      <c r="S5" t="inlineStr">
        <is>
          <t>Yes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5</t>
        </is>
      </c>
      <c r="X5" t="inlineStr">
        <is>
          <t>2</t>
        </is>
      </c>
      <c r="Y5" t="inlineStr">
        <is>
          <t>A mix</t>
        </is>
      </c>
      <c r="Z5" t="inlineStr">
        <is>
          <t>5'2"–5'5"</t>
        </is>
      </c>
      <c r="AA5" t="inlineStr">
        <is>
          <t>XS</t>
        </is>
      </c>
      <c r="AB5" t="inlineStr">
        <is>
          <t>I don’t buy ethnic on Myntra</t>
        </is>
      </c>
      <c r="AC5" t="inlineStr">
        <is>
          <t>Mostly occasion / ethnic</t>
        </is>
      </c>
      <c r="AD5" t="inlineStr">
        <is>
          <t>Function is in three weeks. Dupatta length and seal tag — that’s the stall.</t>
        </is>
      </c>
      <c r="AE5">
        <f>IF(C5="","",IF(AND(D5="Woman",E5="24–32",OR(F5="Bengaluru",F5="Hyderabad",F5="Delhi",F5="Gurugram",F5="Noida",F5="Coimbatore"),OR(G5="15–40",G5="41–80",G5="81+"),H5="Yes",OR(I5="Most days",I5="About weekly")),"YES","NO"))</f>
        <v/>
      </c>
      <c r="AF5">
        <f>IF(L5="","",IF(ISNUMBER(SEARCH("fit",L5)),"fit",IF(ISNUMBER(SEARCH("return",L5))+ISNUMBER(SEARCH("seal",L5)),"return",IF(ISNUMBER(SEARCH("chart",L5)),"chart",IF(ISNUMBER(SEARCH("choose",L5)),"compare",IF(ISNUMBER(SEARCH("sale",L5)),"sale",IF(ISNUMBER(SEARCH("never",L5)),"bookmark",IF(ISNUMBER(SEARCH("mess",L5)),"clutter",IF(ISNUMBER(SEARCH("wear it",L5)),"occasion",IF(ISNUMBER(SEARCH("quality",L5)),"quality","other"))))))))))</f>
        <v/>
      </c>
      <c r="AG5">
        <f>IF(Q5="","",IF(OR(ISNUMBER(SEARCH("WhatsApp",Q5)),ISNUMBER(SEARCH("YouTube",Q5)),ISNUMBER(SEARCH("Instagram",Q5)),ISNUMBER(SEARCH("Google",Q5)),ISNUMBER(SEARCH("store",Q5)),ISNUMBER(SEARCH("two sizes",Q5))),"off_app","in_app"))</f>
        <v/>
      </c>
      <c r="AH5">
        <f>IF(N5="","",IF(ISNUMBER(SEARCH("coupon",N5))+ISNUMBER(SEARCH("sale",N5))+ISNUMBER(SEARCH("kept-vs-returned",N5))+ISNUMBER(SEARCH("sentence",N5))+ISNUMBER(SEARCH("stays with",N5))+ISNUMBER(SEARCH("side-by-side",N5)),IF(ISNUMBER(SEARCH("kept-vs-returned",N5))+ISNUMBER(SEARCH("sentence",N5))+ISNUMBER(SEARCH("stays with",N5))+ISNUMBER(SEARCH("side-by-side",N5)),"legal_present",IF(ISNUMBER(SEARCH("coupon",N5))+ISNUMBER(SEARCH("sale",N5)),"coupon_only","other")),"other"))</f>
        <v/>
      </c>
    </row>
    <row r="6" ht="18" customHeight="1">
      <c r="A6" t="inlineStr">
        <is>
          <t>8/10/2026 14:01:58</t>
        </is>
      </c>
      <c r="B6" t="inlineStr">
        <is>
          <t>Yes, continue</t>
        </is>
      </c>
      <c r="C6" t="inlineStr">
        <is>
          <t>Yes</t>
        </is>
      </c>
      <c r="D6" t="inlineStr">
        <is>
          <t>Woman</t>
        </is>
      </c>
      <c r="E6" t="inlineStr">
        <is>
          <t>24–32</t>
        </is>
      </c>
      <c r="F6" t="inlineStr">
        <is>
          <t>Noida</t>
        </is>
      </c>
      <c r="G6" t="inlineStr">
        <is>
          <t>15–40</t>
        </is>
      </c>
      <c r="H6" t="inlineStr">
        <is>
          <t>Yes</t>
        </is>
      </c>
      <c r="I6" t="inlineStr">
        <is>
          <t>About weekly</t>
        </is>
      </c>
      <c r="J6" t="inlineStr">
        <is>
          <t>I meant to buy it soon</t>
        </is>
      </c>
      <c r="K6" t="inlineStr">
        <is>
          <t>Yes</t>
        </is>
      </c>
      <c r="L6" t="inlineStr">
        <is>
          <t>I don’t know if it will fit me / this brand’s cut</t>
        </is>
      </c>
      <c r="M6" t="inlineStr">
        <is>
          <t>Fit on my body / height, Which size to pick</t>
        </is>
      </c>
      <c r="N6" t="inlineStr">
        <is>
          <t>A kept-vs-returned story from people my size and height, on the wishlist card, A suggested size that stays with the saved item (not only on the product page), Return / seal-tag / exchange-only written as a sentence on the card</t>
        </is>
      </c>
      <c r="O6" t="inlineStr">
        <is>
          <t>How this sat on someone near my height, Whether people who wear my usual size kept it, Length / crop / rise for my height</t>
        </is>
      </c>
      <c r="P6" t="inlineStr">
        <is>
          <t>No</t>
        </is>
      </c>
      <c r="Q6" t="inlineStr">
        <is>
          <t>WhatsApp / send photos to friends or family, YouTube haul / try-on, Visit a store to touch fabric or try a similar cut</t>
        </is>
      </c>
      <c r="R6" t="inlineStr">
        <is>
          <t>Only buy brands I have kept before, Read 50+ reviews on the product page, Don’t buy — leave it wishlisted</t>
        </is>
      </c>
      <c r="S6" t="inlineStr">
        <is>
          <t>Yes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A shopping list I intend to buy from</t>
        </is>
      </c>
      <c r="Z6" t="inlineStr">
        <is>
          <t>5'2"–5'5"</t>
        </is>
      </c>
      <c r="AA6" t="inlineStr">
        <is>
          <t>M</t>
        </is>
      </c>
      <c r="AB6" t="inlineStr">
        <is>
          <t>Yes, same letter</t>
        </is>
      </c>
      <c r="AC6" t="inlineStr">
        <is>
          <t>Mix of workwear and occasion</t>
        </is>
      </c>
      <c r="AD6" t="inlineStr">
        <is>
          <t>Straight kurta for work. Need to know if it hits below the knee on me.</t>
        </is>
      </c>
      <c r="AE6">
        <f>IF(C6="","",IF(AND(D6="Woman",E6="24–32",OR(F6="Bengaluru",F6="Hyderabad",F6="Delhi",F6="Gurugram",F6="Noida",F6="Coimbatore"),OR(G6="15–40",G6="41–80",G6="81+"),H6="Yes",OR(I6="Most days",I6="About weekly")),"YES","NO"))</f>
        <v/>
      </c>
      <c r="AF6">
        <f>IF(L6="","",IF(ISNUMBER(SEARCH("fit",L6)),"fit",IF(ISNUMBER(SEARCH("return",L6))+ISNUMBER(SEARCH("seal",L6)),"return",IF(ISNUMBER(SEARCH("chart",L6)),"chart",IF(ISNUMBER(SEARCH("choose",L6)),"compare",IF(ISNUMBER(SEARCH("sale",L6)),"sale",IF(ISNUMBER(SEARCH("never",L6)),"bookmark",IF(ISNUMBER(SEARCH("mess",L6)),"clutter",IF(ISNUMBER(SEARCH("wear it",L6)),"occasion",IF(ISNUMBER(SEARCH("quality",L6)),"quality","other"))))))))))</f>
        <v/>
      </c>
      <c r="AG6">
        <f>IF(Q6="","",IF(OR(ISNUMBER(SEARCH("WhatsApp",Q6)),ISNUMBER(SEARCH("YouTube",Q6)),ISNUMBER(SEARCH("Instagram",Q6)),ISNUMBER(SEARCH("Google",Q6)),ISNUMBER(SEARCH("store",Q6)),ISNUMBER(SEARCH("two sizes",Q6))),"off_app","in_app"))</f>
        <v/>
      </c>
      <c r="AH6">
        <f>IF(N6="","",IF(ISNUMBER(SEARCH("coupon",N6))+ISNUMBER(SEARCH("sale",N6))+ISNUMBER(SEARCH("kept-vs-returned",N6))+ISNUMBER(SEARCH("sentence",N6))+ISNUMBER(SEARCH("stays with",N6))+ISNUMBER(SEARCH("side-by-side",N6)),IF(ISNUMBER(SEARCH("kept-vs-returned",N6))+ISNUMBER(SEARCH("sentence",N6))+ISNUMBER(SEARCH("stays with",N6))+ISNUMBER(SEARCH("side-by-side",N6)),"legal_present",IF(ISNUMBER(SEARCH("coupon",N6))+ISNUMBER(SEARCH("sale",N6)),"coupon_only","other")),"other"))</f>
        <v/>
      </c>
    </row>
    <row r="7" ht="18" customHeight="1">
      <c r="A7" t="inlineStr">
        <is>
          <t>8/10/2026 16:50:09</t>
        </is>
      </c>
      <c r="B7" t="inlineStr">
        <is>
          <t>Yes, continue</t>
        </is>
      </c>
      <c r="C7" t="inlineStr">
        <is>
          <t>Yes</t>
        </is>
      </c>
      <c r="D7" t="inlineStr">
        <is>
          <t>Woman</t>
        </is>
      </c>
      <c r="E7" t="inlineStr">
        <is>
          <t>24–32</t>
        </is>
      </c>
      <c r="F7" t="inlineStr">
        <is>
          <t>Delhi</t>
        </is>
      </c>
      <c r="G7" t="inlineStr">
        <is>
          <t>41–80</t>
        </is>
      </c>
      <c r="H7" t="inlineStr">
        <is>
          <t>Yes</t>
        </is>
      </c>
      <c r="I7" t="inlineStr">
        <is>
          <t>About weekly</t>
        </is>
      </c>
      <c r="J7" t="inlineStr">
        <is>
          <t>I just liked it — not sure I’ll buy</t>
        </is>
      </c>
      <c r="K7" t="inlineStr">
        <is>
          <t>No</t>
        </is>
      </c>
      <c r="L7" t="inlineStr">
        <is>
          <t>I was never really going to buy it</t>
        </is>
      </c>
      <c r="M7" t="inlineStr">
        <is>
          <t>Nothing — I was just bookmarking</t>
        </is>
      </c>
      <c r="N7" t="inlineStr">
        <is>
          <t>Nothing — I don’t intend to buy it</t>
        </is>
      </c>
      <c r="O7" t="inlineStr">
        <is>
          <t>I have everything I need</t>
        </is>
      </c>
      <c r="P7" t="inlineStr">
        <is>
          <t>No</t>
        </is>
      </c>
      <c r="Q7" t="inlineStr">
        <is>
          <t>YouTube haul / try-on</t>
        </is>
      </c>
      <c r="R7" t="inlineStr">
        <is>
          <t>Don’t buy — leave it wishlisted</t>
        </is>
      </c>
      <c r="S7" t="inlineStr">
        <is>
          <t>No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3</t>
        </is>
      </c>
      <c r="Y7" t="inlineStr">
        <is>
          <t>A moodboard / Pinterest</t>
        </is>
      </c>
      <c r="Z7" t="inlineStr">
        <is>
          <t>5'2"–5'5"</t>
        </is>
      </c>
      <c r="AA7" t="inlineStr">
        <is>
          <t>XS</t>
        </is>
      </c>
      <c r="AB7" t="inlineStr">
        <is>
          <t>Yes, same letter</t>
        </is>
      </c>
      <c r="AC7" t="inlineStr">
        <is>
          <t>Mostly workwear</t>
        </is>
      </c>
      <c r="AD7" t="inlineStr"/>
      <c r="AE7">
        <f>IF(C7="","",IF(AND(D7="Woman",E7="24–32",OR(F7="Bengaluru",F7="Hyderabad",F7="Delhi",F7="Gurugram",F7="Noida",F7="Coimbatore"),OR(G7="15–40",G7="41–80",G7="81+"),H7="Yes",OR(I7="Most days",I7="About weekly")),"YES","NO"))</f>
        <v/>
      </c>
      <c r="AF7">
        <f>IF(L7="","",IF(ISNUMBER(SEARCH("fit",L7)),"fit",IF(ISNUMBER(SEARCH("return",L7))+ISNUMBER(SEARCH("seal",L7)),"return",IF(ISNUMBER(SEARCH("chart",L7)),"chart",IF(ISNUMBER(SEARCH("choose",L7)),"compare",IF(ISNUMBER(SEARCH("sale",L7)),"sale",IF(ISNUMBER(SEARCH("never",L7)),"bookmark",IF(ISNUMBER(SEARCH("mess",L7)),"clutter",IF(ISNUMBER(SEARCH("wear it",L7)),"occasion",IF(ISNUMBER(SEARCH("quality",L7)),"quality","other"))))))))))</f>
        <v/>
      </c>
      <c r="AG7">
        <f>IF(Q7="","",IF(OR(ISNUMBER(SEARCH("WhatsApp",Q7)),ISNUMBER(SEARCH("YouTube",Q7)),ISNUMBER(SEARCH("Instagram",Q7)),ISNUMBER(SEARCH("Google",Q7)),ISNUMBER(SEARCH("store",Q7)),ISNUMBER(SEARCH("two sizes",Q7))),"off_app","in_app"))</f>
        <v/>
      </c>
      <c r="AH7">
        <f>IF(N7="","",IF(ISNUMBER(SEARCH("coupon",N7))+ISNUMBER(SEARCH("sale",N7))+ISNUMBER(SEARCH("kept-vs-returned",N7))+ISNUMBER(SEARCH("sentence",N7))+ISNUMBER(SEARCH("stays with",N7))+ISNUMBER(SEARCH("side-by-side",N7)),IF(ISNUMBER(SEARCH("kept-vs-returned",N7))+ISNUMBER(SEARCH("sentence",N7))+ISNUMBER(SEARCH("stays with",N7))+ISNUMBER(SEARCH("side-by-side",N7)),"legal_present",IF(ISNUMBER(SEARCH("coupon",N7))+ISNUMBER(SEARCH("sale",N7)),"coupon_only","other")),"other"))</f>
        <v/>
      </c>
    </row>
    <row r="8" ht="18" customHeight="1">
      <c r="A8" t="inlineStr">
        <is>
          <t>8/10/2026 18:52:02</t>
        </is>
      </c>
      <c r="B8" t="inlineStr">
        <is>
          <t>Yes, continue</t>
        </is>
      </c>
      <c r="C8" t="inlineStr">
        <is>
          <t>Yes</t>
        </is>
      </c>
      <c r="D8" t="inlineStr">
        <is>
          <t>Woman</t>
        </is>
      </c>
      <c r="E8" t="inlineStr">
        <is>
          <t>24–32</t>
        </is>
      </c>
      <c r="F8" t="inlineStr">
        <is>
          <t>Gurugram</t>
        </is>
      </c>
      <c r="G8" t="inlineStr">
        <is>
          <t>15–40</t>
        </is>
      </c>
      <c r="H8" t="inlineStr">
        <is>
          <t>Yes</t>
        </is>
      </c>
      <c r="I8" t="inlineStr">
        <is>
          <t>About weekly</t>
        </is>
      </c>
      <c r="J8" t="inlineStr">
        <is>
          <t>I meant to buy it soon</t>
        </is>
      </c>
      <c r="K8" t="inlineStr">
        <is>
          <t>Yes</t>
        </is>
      </c>
      <c r="L8" t="inlineStr">
        <is>
          <t>I don’t know if it will fit me / this brand’s cut</t>
        </is>
      </c>
      <c r="M8" t="inlineStr">
        <is>
          <t>Fit on my body / height, Which size to pick</t>
        </is>
      </c>
      <c r="N8" t="inlineStr">
        <is>
          <t>A kept-vs-returned story from people my size and height, on the wishlist card, A suggested size that stays with the saved item (not only on the product page)</t>
        </is>
      </c>
      <c r="O8" t="inlineStr">
        <is>
          <t>How this sat on someone near my height, Whether people who wear my usual size kept it, Length / crop / rise for my height</t>
        </is>
      </c>
      <c r="P8" t="inlineStr">
        <is>
          <t>No</t>
        </is>
      </c>
      <c r="Q8" t="inlineStr">
        <is>
          <t>WhatsApp / send photos to friends or family, YouTube haul / try-on, Visit a store to touch fabric or try a similar cut</t>
        </is>
      </c>
      <c r="R8" t="inlineStr">
        <is>
          <t>Only buy brands I have kept before, Read 50+ reviews on the product page, Ask a friend their size in that brand, Don’t buy — leave it wishlisted</t>
        </is>
      </c>
      <c r="S8" t="inlineStr">
        <is>
          <t>Yes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A shopping list I intend to buy from</t>
        </is>
      </c>
      <c r="Z8" t="inlineStr">
        <is>
          <t>5'2"–5'5"</t>
        </is>
      </c>
      <c r="AA8" t="inlineStr">
        <is>
          <t>S</t>
        </is>
      </c>
      <c r="AB8" t="inlineStr">
        <is>
          <t>Yes, same letter</t>
        </is>
      </c>
      <c r="AC8" t="inlineStr">
        <is>
          <t>Mix of workwear and occasion</t>
        </is>
      </c>
      <c r="AD8" t="inlineStr">
        <is>
          <t>The size advice was on the product page. Wishlist is just a photo. I start over every time.</t>
        </is>
      </c>
      <c r="AE8">
        <f>IF(C8="","",IF(AND(D8="Woman",E8="24–32",OR(F8="Bengaluru",F8="Hyderabad",F8="Delhi",F8="Gurugram",F8="Noida",F8="Coimbatore"),OR(G8="15–40",G8="41–80",G8="81+"),H8="Yes",OR(I8="Most days",I8="About weekly")),"YES","NO"))</f>
        <v/>
      </c>
      <c r="AF8">
        <f>IF(L8="","",IF(ISNUMBER(SEARCH("fit",L8)),"fit",IF(ISNUMBER(SEARCH("return",L8))+ISNUMBER(SEARCH("seal",L8)),"return",IF(ISNUMBER(SEARCH("chart",L8)),"chart",IF(ISNUMBER(SEARCH("choose",L8)),"compare",IF(ISNUMBER(SEARCH("sale",L8)),"sale",IF(ISNUMBER(SEARCH("never",L8)),"bookmark",IF(ISNUMBER(SEARCH("mess",L8)),"clutter",IF(ISNUMBER(SEARCH("wear it",L8)),"occasion",IF(ISNUMBER(SEARCH("quality",L8)),"quality","other"))))))))))</f>
        <v/>
      </c>
      <c r="AG8">
        <f>IF(Q8="","",IF(OR(ISNUMBER(SEARCH("WhatsApp",Q8)),ISNUMBER(SEARCH("YouTube",Q8)),ISNUMBER(SEARCH("Instagram",Q8)),ISNUMBER(SEARCH("Google",Q8)),ISNUMBER(SEARCH("store",Q8)),ISNUMBER(SEARCH("two sizes",Q8))),"off_app","in_app"))</f>
        <v/>
      </c>
      <c r="AH8">
        <f>IF(N8="","",IF(ISNUMBER(SEARCH("coupon",N8))+ISNUMBER(SEARCH("sale",N8))+ISNUMBER(SEARCH("kept-vs-returned",N8))+ISNUMBER(SEARCH("sentence",N8))+ISNUMBER(SEARCH("stays with",N8))+ISNUMBER(SEARCH("side-by-side",N8)),IF(ISNUMBER(SEARCH("kept-vs-returned",N8))+ISNUMBER(SEARCH("sentence",N8))+ISNUMBER(SEARCH("stays with",N8))+ISNUMBER(SEARCH("side-by-side",N8)),"legal_present",IF(ISNUMBER(SEARCH("coupon",N8))+ISNUMBER(SEARCH("sale",N8)),"coupon_only","other")),"other"))</f>
        <v/>
      </c>
    </row>
    <row r="9" ht="18" customHeight="1">
      <c r="A9" t="inlineStr">
        <is>
          <t>8/10/2026 22:20:28</t>
        </is>
      </c>
      <c r="B9" t="inlineStr">
        <is>
          <t>Yes, continue</t>
        </is>
      </c>
      <c r="C9" t="inlineStr">
        <is>
          <t>Yes</t>
        </is>
      </c>
      <c r="D9" t="inlineStr">
        <is>
          <t>Woman</t>
        </is>
      </c>
      <c r="E9" t="inlineStr">
        <is>
          <t>24–32</t>
        </is>
      </c>
      <c r="F9" t="inlineStr">
        <is>
          <t>Gurugram</t>
        </is>
      </c>
      <c r="G9" t="inlineStr">
        <is>
          <t>15–40</t>
        </is>
      </c>
      <c r="H9" t="inlineStr">
        <is>
          <t>Yes</t>
        </is>
      </c>
      <c r="I9" t="inlineStr">
        <is>
          <t>Most days</t>
        </is>
      </c>
      <c r="J9" t="inlineStr">
        <is>
          <t>Waiting for a sale or price drop</t>
        </is>
      </c>
      <c r="K9" t="inlineStr">
        <is>
          <t>Yes</t>
        </is>
      </c>
      <c r="L9" t="inlineStr">
        <is>
          <t>I’m waiting for a sale or discount</t>
        </is>
      </c>
      <c r="M9" t="inlineStr">
        <is>
          <t>Price, Whether I can return or exchange it</t>
        </is>
      </c>
      <c r="N9" t="inlineStr">
        <is>
          <t>A coupon or sale, A kept-vs-returned story from people my size and height, on the wishlist card, A suggested size that stays with the saved item (not only on the product page)</t>
        </is>
      </c>
      <c r="O9" t="inlineStr">
        <is>
          <t>How this sat on someone near my height, Return policy in words, not an icon</t>
        </is>
      </c>
      <c r="P9" t="inlineStr">
        <is>
          <t>No</t>
        </is>
      </c>
      <c r="Q9" t="inlineStr">
        <is>
          <t>WhatsApp / send photos to friends or family, YouTube haul / try-on, Instagram</t>
        </is>
      </c>
      <c r="R9" t="inlineStr">
        <is>
          <t>Only buy brands I have kept before, Read 50+ reviews on the product page, Wait for a sale so a failed return hurts less, Don’t buy — leave it wishlisted</t>
        </is>
      </c>
      <c r="S9" t="inlineStr">
        <is>
          <t>Yes</t>
        </is>
      </c>
      <c r="T9" t="inlineStr">
        <is>
          <t>3</t>
        </is>
      </c>
      <c r="U9" t="inlineStr">
        <is>
          <t>4</t>
        </is>
      </c>
      <c r="V9" t="inlineStr">
        <is>
          <t>5</t>
        </is>
      </c>
      <c r="W9" t="inlineStr">
        <is>
          <t>2</t>
        </is>
      </c>
      <c r="X9" t="inlineStr">
        <is>
          <t>2</t>
        </is>
      </c>
      <c r="Y9" t="inlineStr">
        <is>
          <t>A shopping list I intend to buy from</t>
        </is>
      </c>
      <c r="Z9" t="inlineStr">
        <is>
          <t>5'5"–5'8"</t>
        </is>
      </c>
      <c r="AA9" t="inlineStr">
        <is>
          <t>L</t>
        </is>
      </c>
      <c r="AB9" t="inlineStr">
        <is>
          <t>No — ethnic runs different</t>
        </is>
      </c>
      <c r="AC9" t="inlineStr">
        <is>
          <t>Mostly workwear</t>
        </is>
      </c>
      <c r="AD9" t="inlineStr">
        <is>
          <t>Salary week I browse. I still don’t bag if fit is a coin flip, even on sale.</t>
        </is>
      </c>
      <c r="AE9">
        <f>IF(C9="","",IF(AND(D9="Woman",E9="24–32",OR(F9="Bengaluru",F9="Hyderabad",F9="Delhi",F9="Gurugram",F9="Noida",F9="Coimbatore"),OR(G9="15–40",G9="41–80",G9="81+"),H9="Yes",OR(I9="Most days",I9="About weekly")),"YES","NO"))</f>
        <v/>
      </c>
      <c r="AF9">
        <f>IF(L9="","",IF(ISNUMBER(SEARCH("fit",L9)),"fit",IF(ISNUMBER(SEARCH("return",L9))+ISNUMBER(SEARCH("seal",L9)),"return",IF(ISNUMBER(SEARCH("chart",L9)),"chart",IF(ISNUMBER(SEARCH("choose",L9)),"compare",IF(ISNUMBER(SEARCH("sale",L9)),"sale",IF(ISNUMBER(SEARCH("never",L9)),"bookmark",IF(ISNUMBER(SEARCH("mess",L9)),"clutter",IF(ISNUMBER(SEARCH("wear it",L9)),"occasion",IF(ISNUMBER(SEARCH("quality",L9)),"quality","other"))))))))))</f>
        <v/>
      </c>
      <c r="AG9">
        <f>IF(Q9="","",IF(OR(ISNUMBER(SEARCH("WhatsApp",Q9)),ISNUMBER(SEARCH("YouTube",Q9)),ISNUMBER(SEARCH("Instagram",Q9)),ISNUMBER(SEARCH("Google",Q9)),ISNUMBER(SEARCH("store",Q9)),ISNUMBER(SEARCH("two sizes",Q9))),"off_app","in_app"))</f>
        <v/>
      </c>
      <c r="AH9">
        <f>IF(N9="","",IF(ISNUMBER(SEARCH("coupon",N9))+ISNUMBER(SEARCH("sale",N9))+ISNUMBER(SEARCH("kept-vs-returned",N9))+ISNUMBER(SEARCH("sentence",N9))+ISNUMBER(SEARCH("stays with",N9))+ISNUMBER(SEARCH("side-by-side",N9)),IF(ISNUMBER(SEARCH("kept-vs-returned",N9))+ISNUMBER(SEARCH("sentence",N9))+ISNUMBER(SEARCH("stays with",N9))+ISNUMBER(SEARCH("side-by-side",N9)),"legal_present",IF(ISNUMBER(SEARCH("coupon",N9))+ISNUMBER(SEARCH("sale",N9)),"coupon_only","other")),"other"))</f>
        <v/>
      </c>
    </row>
    <row r="10" ht="18" customHeight="1">
      <c r="A10" t="inlineStr">
        <is>
          <t>8/11/2026 3:52:18</t>
        </is>
      </c>
      <c r="B10" t="inlineStr">
        <is>
          <t>Yes, continue</t>
        </is>
      </c>
      <c r="C10" t="inlineStr">
        <is>
          <t>Yes</t>
        </is>
      </c>
      <c r="D10" t="inlineStr">
        <is>
          <t>Woman</t>
        </is>
      </c>
      <c r="E10" t="inlineStr">
        <is>
          <t>24–32</t>
        </is>
      </c>
      <c r="F10" t="inlineStr">
        <is>
          <t>Bengaluru</t>
        </is>
      </c>
      <c r="G10" t="inlineStr">
        <is>
          <t>15–40</t>
        </is>
      </c>
      <c r="H10" t="inlineStr">
        <is>
          <t>Yes</t>
        </is>
      </c>
      <c r="I10" t="inlineStr">
        <is>
          <t>Most days</t>
        </is>
      </c>
      <c r="J10" t="inlineStr">
        <is>
          <t>Waiting for a sale or price drop</t>
        </is>
      </c>
      <c r="K10" t="inlineStr">
        <is>
          <t>Yes</t>
        </is>
      </c>
      <c r="L10" t="inlineStr">
        <is>
          <t>I’m waiting for a sale or discount</t>
        </is>
      </c>
      <c r="M10" t="inlineStr">
        <is>
          <t>Price, Whether I can return or exchange it</t>
        </is>
      </c>
      <c r="N10" t="inlineStr">
        <is>
          <t>A coupon or sale, Return / seal-tag / exchange-only written as a sentence on the card, A kept-vs-returned story from people my size and height, on the wishlist card</t>
        </is>
      </c>
      <c r="O10" t="inlineStr">
        <is>
          <t>How this sat on someone near my height, Return policy in words, not an icon</t>
        </is>
      </c>
      <c r="P10" t="inlineStr">
        <is>
          <t>Yes — but I may buy none</t>
        </is>
      </c>
      <c r="Q10" t="inlineStr">
        <is>
          <t>WhatsApp / send photos to friends or family, YouTube haul / try-on, Instagram</t>
        </is>
      </c>
      <c r="R10" t="inlineStr">
        <is>
          <t>Only buy brands I have kept before, Read 50+ reviews on the product page, Wait for a sale so a failed return hurts less, Don’t buy — leave it wishlisted</t>
        </is>
      </c>
      <c r="S10" t="inlineStr">
        <is>
          <t>Yes</t>
        </is>
      </c>
      <c r="T10" t="inlineStr">
        <is>
          <t>3</t>
        </is>
      </c>
      <c r="U10" t="inlineStr">
        <is>
          <t>4</t>
        </is>
      </c>
      <c r="V10" t="inlineStr">
        <is>
          <t>5</t>
        </is>
      </c>
      <c r="W10" t="inlineStr">
        <is>
          <t>2</t>
        </is>
      </c>
      <c r="X10" t="inlineStr">
        <is>
          <t>2</t>
        </is>
      </c>
      <c r="Y10" t="inlineStr">
        <is>
          <t>A shopping list I intend to buy from</t>
        </is>
      </c>
      <c r="Z10" t="inlineStr">
        <is>
          <t>5'5"–5'8"</t>
        </is>
      </c>
      <c r="AA10" t="inlineStr">
        <is>
          <t>S</t>
        </is>
      </c>
      <c r="AB10" t="inlineStr">
        <is>
          <t>Yes, same letter</t>
        </is>
      </c>
      <c r="AC10" t="inlineStr">
        <is>
          <t>Mix of workwear and occasion</t>
        </is>
      </c>
      <c r="AD10" t="inlineStr"/>
      <c r="AE10">
        <f>IF(C10="","",IF(AND(D10="Woman",E10="24–32",OR(F10="Bengaluru",F10="Hyderabad",F10="Delhi",F10="Gurugram",F10="Noida",F10="Coimbatore"),OR(G10="15–40",G10="41–80",G10="81+"),H10="Yes",OR(I10="Most days",I10="About weekly")),"YES","NO"))</f>
        <v/>
      </c>
      <c r="AF10">
        <f>IF(L10="","",IF(ISNUMBER(SEARCH("fit",L10)),"fit",IF(ISNUMBER(SEARCH("return",L10))+ISNUMBER(SEARCH("seal",L10)),"return",IF(ISNUMBER(SEARCH("chart",L10)),"chart",IF(ISNUMBER(SEARCH("choose",L10)),"compare",IF(ISNUMBER(SEARCH("sale",L10)),"sale",IF(ISNUMBER(SEARCH("never",L10)),"bookmark",IF(ISNUMBER(SEARCH("mess",L10)),"clutter",IF(ISNUMBER(SEARCH("wear it",L10)),"occasion",IF(ISNUMBER(SEARCH("quality",L10)),"quality","other"))))))))))</f>
        <v/>
      </c>
      <c r="AG10">
        <f>IF(Q10="","",IF(OR(ISNUMBER(SEARCH("WhatsApp",Q10)),ISNUMBER(SEARCH("YouTube",Q10)),ISNUMBER(SEARCH("Instagram",Q10)),ISNUMBER(SEARCH("Google",Q10)),ISNUMBER(SEARCH("store",Q10)),ISNUMBER(SEARCH("two sizes",Q10))),"off_app","in_app"))</f>
        <v/>
      </c>
      <c r="AH10">
        <f>IF(N10="","",IF(ISNUMBER(SEARCH("coupon",N10))+ISNUMBER(SEARCH("sale",N10))+ISNUMBER(SEARCH("kept-vs-returned",N10))+ISNUMBER(SEARCH("sentence",N10))+ISNUMBER(SEARCH("stays with",N10))+ISNUMBER(SEARCH("side-by-side",N10)),IF(ISNUMBER(SEARCH("kept-vs-returned",N10))+ISNUMBER(SEARCH("sentence",N10))+ISNUMBER(SEARCH("stays with",N10))+ISNUMBER(SEARCH("side-by-side",N10)),"legal_present",IF(ISNUMBER(SEARCH("coupon",N10))+ISNUMBER(SEARCH("sale",N10)),"coupon_only","other")),"other"))</f>
        <v/>
      </c>
    </row>
    <row r="11" ht="18" customHeight="1">
      <c r="A11" t="inlineStr">
        <is>
          <t>8/11/2026 8:59:04</t>
        </is>
      </c>
      <c r="B11" t="inlineStr">
        <is>
          <t>Yes, continue</t>
        </is>
      </c>
      <c r="C11" t="inlineStr">
        <is>
          <t>Yes</t>
        </is>
      </c>
      <c r="D11" t="inlineStr">
        <is>
          <t>Woman</t>
        </is>
      </c>
      <c r="E11" t="inlineStr">
        <is>
          <t>Under 24</t>
        </is>
      </c>
      <c r="F11" t="inlineStr">
        <is>
          <t>Pune</t>
        </is>
      </c>
      <c r="G11" t="inlineStr">
        <is>
          <t>1–14</t>
        </is>
      </c>
      <c r="H11" t="inlineStr">
        <is>
          <t>Yes</t>
        </is>
      </c>
      <c r="I11" t="inlineStr">
        <is>
          <t>Most days</t>
        </is>
      </c>
      <c r="J11" t="inlineStr">
        <is>
          <t>Waiting for a sale or price drop</t>
        </is>
      </c>
      <c r="K11" t="inlineStr">
        <is>
          <t>Yes</t>
        </is>
      </c>
      <c r="L11" t="inlineStr">
        <is>
          <t>I’m waiting for a sale or discount</t>
        </is>
      </c>
      <c r="M11" t="inlineStr">
        <is>
          <t>Price, Whether I can return or exchange it</t>
        </is>
      </c>
      <c r="N11" t="inlineStr">
        <is>
          <t>A coupon or sale, Return / seal-tag / exchange-only written as a sentence on the card, A kept-vs-returned story from people my size and height, on the wishlist card</t>
        </is>
      </c>
      <c r="O11" t="inlineStr">
        <is>
          <t>How this sat on someone near my height, Return policy in words, not an icon</t>
        </is>
      </c>
      <c r="P11" t="inlineStr">
        <is>
          <t>Yes — but I may buy none</t>
        </is>
      </c>
      <c r="Q11" t="inlineStr">
        <is>
          <t>WhatsApp / send photos to friends or family, YouTube haul / try-on, Google size charts or reviews</t>
        </is>
      </c>
      <c r="R11" t="inlineStr">
        <is>
          <t>Only buy brands I have kept before, Read 50+ reviews on the product page, Wait for a sale so a failed return hurts less</t>
        </is>
      </c>
      <c r="S11" t="inlineStr">
        <is>
          <t>No</t>
        </is>
      </c>
      <c r="T11" t="inlineStr">
        <is>
          <t>3</t>
        </is>
      </c>
      <c r="U11" t="inlineStr">
        <is>
          <t>4</t>
        </is>
      </c>
      <c r="V11" t="inlineStr">
        <is>
          <t>5</t>
        </is>
      </c>
      <c r="W11" t="inlineStr">
        <is>
          <t>2</t>
        </is>
      </c>
      <c r="X11" t="inlineStr">
        <is>
          <t>2</t>
        </is>
      </c>
      <c r="Y11" t="inlineStr">
        <is>
          <t>A shopping list I intend to buy from</t>
        </is>
      </c>
      <c r="Z11" t="inlineStr">
        <is>
          <t>5'5"–5'8"</t>
        </is>
      </c>
      <c r="AA11" t="inlineStr">
        <is>
          <t>XS</t>
        </is>
      </c>
      <c r="AB11" t="inlineStr">
        <is>
          <t>No — ethnic runs different</t>
        </is>
      </c>
      <c r="AC11" t="inlineStr">
        <is>
          <t>Mix of workwear and occasion</t>
        </is>
      </c>
      <c r="AD11" t="inlineStr"/>
      <c r="AE11">
        <f>IF(C11="","",IF(AND(D11="Woman",E11="24–32",OR(F11="Bengaluru",F11="Hyderabad",F11="Delhi",F11="Gurugram",F11="Noida",F11="Coimbatore"),OR(G11="15–40",G11="41–80",G11="81+"),H11="Yes",OR(I11="Most days",I11="About weekly")),"YES","NO"))</f>
        <v/>
      </c>
      <c r="AF11">
        <f>IF(L11="","",IF(ISNUMBER(SEARCH("fit",L11)),"fit",IF(ISNUMBER(SEARCH("return",L11))+ISNUMBER(SEARCH("seal",L11)),"return",IF(ISNUMBER(SEARCH("chart",L11)),"chart",IF(ISNUMBER(SEARCH("choose",L11)),"compare",IF(ISNUMBER(SEARCH("sale",L11)),"sale",IF(ISNUMBER(SEARCH("never",L11)),"bookmark",IF(ISNUMBER(SEARCH("mess",L11)),"clutter",IF(ISNUMBER(SEARCH("wear it",L11)),"occasion",IF(ISNUMBER(SEARCH("quality",L11)),"quality","other"))))))))))</f>
        <v/>
      </c>
      <c r="AG11">
        <f>IF(Q11="","",IF(OR(ISNUMBER(SEARCH("WhatsApp",Q11)),ISNUMBER(SEARCH("YouTube",Q11)),ISNUMBER(SEARCH("Instagram",Q11)),ISNUMBER(SEARCH("Google",Q11)),ISNUMBER(SEARCH("store",Q11)),ISNUMBER(SEARCH("two sizes",Q11))),"off_app","in_app"))</f>
        <v/>
      </c>
      <c r="AH11">
        <f>IF(N11="","",IF(ISNUMBER(SEARCH("coupon",N11))+ISNUMBER(SEARCH("sale",N11))+ISNUMBER(SEARCH("kept-vs-returned",N11))+ISNUMBER(SEARCH("sentence",N11))+ISNUMBER(SEARCH("stays with",N11))+ISNUMBER(SEARCH("side-by-side",N11)),IF(ISNUMBER(SEARCH("kept-vs-returned",N11))+ISNUMBER(SEARCH("sentence",N11))+ISNUMBER(SEARCH("stays with",N11))+ISNUMBER(SEARCH("side-by-side",N11)),"legal_present",IF(ISNUMBER(SEARCH("coupon",N11))+ISNUMBER(SEARCH("sale",N11)),"coupon_only","other")),"other"))</f>
        <v/>
      </c>
    </row>
    <row r="12" ht="18" customHeight="1">
      <c r="A12" t="inlineStr">
        <is>
          <t>8/11/2026 9:09:52</t>
        </is>
      </c>
      <c r="B12" t="inlineStr">
        <is>
          <t>Yes, continue</t>
        </is>
      </c>
      <c r="C12" t="inlineStr">
        <is>
          <t>Yes</t>
        </is>
      </c>
      <c r="D12" t="inlineStr">
        <is>
          <t>Woman</t>
        </is>
      </c>
      <c r="E12" t="inlineStr">
        <is>
          <t>33–40</t>
        </is>
      </c>
      <c r="F12" t="inlineStr">
        <is>
          <t>Bengaluru</t>
        </is>
      </c>
      <c r="G12" t="inlineStr">
        <is>
          <t>15–40</t>
        </is>
      </c>
      <c r="H12" t="inlineStr">
        <is>
          <t>Yes</t>
        </is>
      </c>
      <c r="I12" t="inlineStr">
        <is>
          <t>A few times a month</t>
        </is>
      </c>
      <c r="J12" t="inlineStr">
        <is>
          <t>I meant to buy it soon</t>
        </is>
      </c>
      <c r="K12" t="inlineStr">
        <is>
          <t>Yes</t>
        </is>
      </c>
      <c r="L12" t="inlineStr">
        <is>
          <t>I’m worried about returns, exchange-only, or a seal tag</t>
        </is>
      </c>
      <c r="M12" t="inlineStr">
        <is>
          <t>Whether I can return or exchange it, Whether the next size exists, Fit on my body / height</t>
        </is>
      </c>
      <c r="N12" t="inlineStr">
        <is>
          <t>Return / seal-tag / exchange-only written as a sentence on the card, A kept-vs-returned story from people my size and height, on the wishlist card</t>
        </is>
      </c>
      <c r="O12" t="inlineStr">
        <is>
          <t>Return policy in words, not an icon, Whether Try and Buy exists on this SKU, How this sat on someone near my height</t>
        </is>
      </c>
      <c r="P12" t="inlineStr">
        <is>
          <t>Yes — but I may buy none</t>
        </is>
      </c>
      <c r="Q12" t="inlineStr">
        <is>
          <t>WhatsApp / send photos to friends or family, YouTube haul / try-on, Visit a store to touch fabric or try a similar cut</t>
        </is>
      </c>
      <c r="R12" t="inlineStr">
        <is>
          <t>Only buy brands I have kept before, Read 50+ reviews on the product page, Order two sizes, Wait for a sale so a failed return hurts less</t>
        </is>
      </c>
      <c r="S12" t="inlineStr">
        <is>
          <t>Yes</t>
        </is>
      </c>
      <c r="T12" t="inlineStr">
        <is>
          <t>4</t>
        </is>
      </c>
      <c r="U12" t="inlineStr">
        <is>
          <t>5</t>
        </is>
      </c>
      <c r="V12" t="inlineStr">
        <is>
          <t>3</t>
        </is>
      </c>
      <c r="W12" t="inlineStr">
        <is>
          <t>2</t>
        </is>
      </c>
      <c r="X12" t="inlineStr">
        <is>
          <t>2</t>
        </is>
      </c>
      <c r="Y12" t="inlineStr">
        <is>
          <t>A shopping list I intend to buy from</t>
        </is>
      </c>
      <c r="Z12" t="inlineStr">
        <is>
          <t>Under 5'2"</t>
        </is>
      </c>
      <c r="AA12" t="inlineStr">
        <is>
          <t>M</t>
        </is>
      </c>
      <c r="AB12" t="inlineStr">
        <is>
          <t>No — ethnic runs different</t>
        </is>
      </c>
      <c r="AC12" t="inlineStr">
        <is>
          <t>Mix of workwear and occasion</t>
        </is>
      </c>
      <c r="AD12" t="inlineStr"/>
      <c r="AE12">
        <f>IF(C12="","",IF(AND(D12="Woman",E12="24–32",OR(F12="Bengaluru",F12="Hyderabad",F12="Delhi",F12="Gurugram",F12="Noida",F12="Coimbatore"),OR(G12="15–40",G12="41–80",G12="81+"),H12="Yes",OR(I12="Most days",I12="About weekly")),"YES","NO"))</f>
        <v/>
      </c>
      <c r="AF12">
        <f>IF(L12="","",IF(ISNUMBER(SEARCH("fit",L12)),"fit",IF(ISNUMBER(SEARCH("return",L12))+ISNUMBER(SEARCH("seal",L12)),"return",IF(ISNUMBER(SEARCH("chart",L12)),"chart",IF(ISNUMBER(SEARCH("choose",L12)),"compare",IF(ISNUMBER(SEARCH("sale",L12)),"sale",IF(ISNUMBER(SEARCH("never",L12)),"bookmark",IF(ISNUMBER(SEARCH("mess",L12)),"clutter",IF(ISNUMBER(SEARCH("wear it",L12)),"occasion",IF(ISNUMBER(SEARCH("quality",L12)),"quality","other"))))))))))</f>
        <v/>
      </c>
      <c r="AG12">
        <f>IF(Q12="","",IF(OR(ISNUMBER(SEARCH("WhatsApp",Q12)),ISNUMBER(SEARCH("YouTube",Q12)),ISNUMBER(SEARCH("Instagram",Q12)),ISNUMBER(SEARCH("Google",Q12)),ISNUMBER(SEARCH("store",Q12)),ISNUMBER(SEARCH("two sizes",Q12))),"off_app","in_app"))</f>
        <v/>
      </c>
      <c r="AH12">
        <f>IF(N12="","",IF(ISNUMBER(SEARCH("coupon",N12))+ISNUMBER(SEARCH("sale",N12))+ISNUMBER(SEARCH("kept-vs-returned",N12))+ISNUMBER(SEARCH("sentence",N12))+ISNUMBER(SEARCH("stays with",N12))+ISNUMBER(SEARCH("side-by-side",N12)),IF(ISNUMBER(SEARCH("kept-vs-returned",N12))+ISNUMBER(SEARCH("sentence",N12))+ISNUMBER(SEARCH("stays with",N12))+ISNUMBER(SEARCH("side-by-side",N12)),"legal_present",IF(ISNUMBER(SEARCH("coupon",N12))+ISNUMBER(SEARCH("sale",N12)),"coupon_only","other")),"other"))</f>
        <v/>
      </c>
    </row>
    <row r="13" ht="18" customHeight="1">
      <c r="A13" t="inlineStr">
        <is>
          <t>8/11/2026 11:11:18</t>
        </is>
      </c>
      <c r="B13" t="inlineStr">
        <is>
          <t>Yes, continue</t>
        </is>
      </c>
      <c r="C13" t="inlineStr">
        <is>
          <t>Yes</t>
        </is>
      </c>
      <c r="D13" t="inlineStr">
        <is>
          <t>Woman</t>
        </is>
      </c>
      <c r="E13" t="inlineStr">
        <is>
          <t>24–32</t>
        </is>
      </c>
      <c r="F13" t="inlineStr">
        <is>
          <t>Hyderabad</t>
        </is>
      </c>
      <c r="G13" t="inlineStr">
        <is>
          <t>15–40</t>
        </is>
      </c>
      <c r="H13" t="inlineStr">
        <is>
          <t>Yes</t>
        </is>
      </c>
      <c r="I13" t="inlineStr">
        <is>
          <t>About weekly</t>
        </is>
      </c>
      <c r="J13" t="inlineStr">
        <is>
          <t>I meant to buy it soon</t>
        </is>
      </c>
      <c r="K13" t="inlineStr">
        <is>
          <t>Yes</t>
        </is>
      </c>
      <c r="L13" t="inlineStr">
        <is>
          <t>I’m worried about returns, exchange-only, or a seal tag</t>
        </is>
      </c>
      <c r="M13" t="inlineStr">
        <is>
          <t>Whether I can return or exchange it, Whether the next size exists, Fit on my body / height</t>
        </is>
      </c>
      <c r="N13" t="inlineStr">
        <is>
          <t>Return / seal-tag / exchange-only written as a sentence on the card, A kept-vs-returned story from people my size and height, on the wishlist card</t>
        </is>
      </c>
      <c r="O13" t="inlineStr">
        <is>
          <t>Return policy in words, not an icon, Whether Try and Buy exists on this SKU, How this sat on someone near my height</t>
        </is>
      </c>
      <c r="P13" t="inlineStr">
        <is>
          <t>Yes — I will buy one of them</t>
        </is>
      </c>
      <c r="Q13" t="inlineStr">
        <is>
          <t>WhatsApp / send photos to friends or family, YouTube haul / try-on, Visit a store to touch fabric or try a similar cut</t>
        </is>
      </c>
      <c r="R13" t="inlineStr">
        <is>
          <t>Only buy brands I have kept before, Read 50+ reviews on the product page, Ask a friend their size in that brand, Wait for a sale so a failed return hurts less</t>
        </is>
      </c>
      <c r="S13" t="inlineStr">
        <is>
          <t>Yes</t>
        </is>
      </c>
      <c r="T13" t="inlineStr">
        <is>
          <t>4</t>
        </is>
      </c>
      <c r="U13" t="inlineStr">
        <is>
          <t>5</t>
        </is>
      </c>
      <c r="V13" t="inlineStr">
        <is>
          <t>3</t>
        </is>
      </c>
      <c r="W13" t="inlineStr">
        <is>
          <t>2</t>
        </is>
      </c>
      <c r="X13" t="inlineStr">
        <is>
          <t>4</t>
        </is>
      </c>
      <c r="Y13" t="inlineStr">
        <is>
          <t>A shopping list I intend to buy from</t>
        </is>
      </c>
      <c r="Z13" t="inlineStr">
        <is>
          <t>5'2"–5'5"</t>
        </is>
      </c>
      <c r="AA13" t="inlineStr">
        <is>
          <t>S</t>
        </is>
      </c>
      <c r="AB13" t="inlineStr">
        <is>
          <t>No — ethnic runs different</t>
        </is>
      </c>
      <c r="AC13" t="inlineStr">
        <is>
          <t>Mostly occasion / ethnic</t>
        </is>
      </c>
      <c r="AD13" t="inlineStr">
        <is>
          <t>I have the money. I don’t have another Sunday for a reverse pickup.</t>
        </is>
      </c>
      <c r="AE13">
        <f>IF(C13="","",IF(AND(D13="Woman",E13="24–32",OR(F13="Bengaluru",F13="Hyderabad",F13="Delhi",F13="Gurugram",F13="Noida",F13="Coimbatore"),OR(G13="15–40",G13="41–80",G13="81+"),H13="Yes",OR(I13="Most days",I13="About weekly")),"YES","NO"))</f>
        <v/>
      </c>
      <c r="AF13">
        <f>IF(L13="","",IF(ISNUMBER(SEARCH("fit",L13)),"fit",IF(ISNUMBER(SEARCH("return",L13))+ISNUMBER(SEARCH("seal",L13)),"return",IF(ISNUMBER(SEARCH("chart",L13)),"chart",IF(ISNUMBER(SEARCH("choose",L13)),"compare",IF(ISNUMBER(SEARCH("sale",L13)),"sale",IF(ISNUMBER(SEARCH("never",L13)),"bookmark",IF(ISNUMBER(SEARCH("mess",L13)),"clutter",IF(ISNUMBER(SEARCH("wear it",L13)),"occasion",IF(ISNUMBER(SEARCH("quality",L13)),"quality","other"))))))))))</f>
        <v/>
      </c>
      <c r="AG13">
        <f>IF(Q13="","",IF(OR(ISNUMBER(SEARCH("WhatsApp",Q13)),ISNUMBER(SEARCH("YouTube",Q13)),ISNUMBER(SEARCH("Instagram",Q13)),ISNUMBER(SEARCH("Google",Q13)),ISNUMBER(SEARCH("store",Q13)),ISNUMBER(SEARCH("two sizes",Q13))),"off_app","in_app"))</f>
        <v/>
      </c>
      <c r="AH13">
        <f>IF(N13="","",IF(ISNUMBER(SEARCH("coupon",N13))+ISNUMBER(SEARCH("sale",N13))+ISNUMBER(SEARCH("kept-vs-returned",N13))+ISNUMBER(SEARCH("sentence",N13))+ISNUMBER(SEARCH("stays with",N13))+ISNUMBER(SEARCH("side-by-side",N13)),IF(ISNUMBER(SEARCH("kept-vs-returned",N13))+ISNUMBER(SEARCH("sentence",N13))+ISNUMBER(SEARCH("stays with",N13))+ISNUMBER(SEARCH("side-by-side",N13)),"legal_present",IF(ISNUMBER(SEARCH("coupon",N13))+ISNUMBER(SEARCH("sale",N13)),"coupon_only","other")),"other"))</f>
        <v/>
      </c>
    </row>
    <row r="14" ht="18" customHeight="1">
      <c r="A14" t="inlineStr">
        <is>
          <t>8/11/2026 13:32:40</t>
        </is>
      </c>
      <c r="B14" t="inlineStr">
        <is>
          <t>Yes, continue</t>
        </is>
      </c>
      <c r="C14" t="inlineStr">
        <is>
          <t>Yes</t>
        </is>
      </c>
      <c r="D14" t="inlineStr">
        <is>
          <t>Woman</t>
        </is>
      </c>
      <c r="E14" t="inlineStr">
        <is>
          <t>24–32</t>
        </is>
      </c>
      <c r="F14" t="inlineStr">
        <is>
          <t>Noida</t>
        </is>
      </c>
      <c r="G14" t="inlineStr">
        <is>
          <t>41–80</t>
        </is>
      </c>
      <c r="H14" t="inlineStr">
        <is>
          <t>Yes</t>
        </is>
      </c>
      <c r="I14" t="inlineStr">
        <is>
          <t>Most days</t>
        </is>
      </c>
      <c r="J14" t="inlineStr">
        <is>
          <t>I meant to buy it soon</t>
        </is>
      </c>
      <c r="K14" t="inlineStr">
        <is>
          <t>Yes</t>
        </is>
      </c>
      <c r="L14" t="inlineStr">
        <is>
          <t>I don’t know if it will fit me / this brand’s cut</t>
        </is>
      </c>
      <c r="M14" t="inlineStr">
        <is>
          <t>Fit on my body / height, Which size to pick</t>
        </is>
      </c>
      <c r="N14" t="inlineStr">
        <is>
          <t>A kept-vs-returned story from people my size and height, on the wishlist card, A suggested size that stays with the saved item (not only on the product page), Return / seal-tag / exchange-only written as a sentence on the card</t>
        </is>
      </c>
      <c r="O14" t="inlineStr">
        <is>
          <t>How this sat on someone near my height, Whether people who wear my usual size kept it, Length / crop / rise for my height</t>
        </is>
      </c>
      <c r="P14" t="inlineStr">
        <is>
          <t>Yes — I will buy one of them</t>
        </is>
      </c>
      <c r="Q14" t="inlineStr">
        <is>
          <t>WhatsApp / send photos to friends or family, YouTube haul / try-on</t>
        </is>
      </c>
      <c r="R14" t="inlineStr">
        <is>
          <t>Only buy brands I have kept before, Read 50+ reviews on the product page, Ask a friend their size in that brand</t>
        </is>
      </c>
      <c r="S14" t="inlineStr">
        <is>
          <t>Yes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A shopping list I intend to buy from</t>
        </is>
      </c>
      <c r="Z14" t="inlineStr">
        <is>
          <t>5'2"–5'5"</t>
        </is>
      </c>
      <c r="AA14" t="inlineStr">
        <is>
          <t>M</t>
        </is>
      </c>
      <c r="AB14" t="inlineStr">
        <is>
          <t>No — ethnic runs different</t>
        </is>
      </c>
      <c r="AC14" t="inlineStr">
        <is>
          <t>Mix of workwear and occasion</t>
        </is>
      </c>
      <c r="AD14" t="inlineStr"/>
      <c r="AE14">
        <f>IF(C14="","",IF(AND(D14="Woman",E14="24–32",OR(F14="Bengaluru",F14="Hyderabad",F14="Delhi",F14="Gurugram",F14="Noida",F14="Coimbatore"),OR(G14="15–40",G14="41–80",G14="81+"),H14="Yes",OR(I14="Most days",I14="About weekly")),"YES","NO"))</f>
        <v/>
      </c>
      <c r="AF14">
        <f>IF(L14="","",IF(ISNUMBER(SEARCH("fit",L14)),"fit",IF(ISNUMBER(SEARCH("return",L14))+ISNUMBER(SEARCH("seal",L14)),"return",IF(ISNUMBER(SEARCH("chart",L14)),"chart",IF(ISNUMBER(SEARCH("choose",L14)),"compare",IF(ISNUMBER(SEARCH("sale",L14)),"sale",IF(ISNUMBER(SEARCH("never",L14)),"bookmark",IF(ISNUMBER(SEARCH("mess",L14)),"clutter",IF(ISNUMBER(SEARCH("wear it",L14)),"occasion",IF(ISNUMBER(SEARCH("quality",L14)),"quality","other"))))))))))</f>
        <v/>
      </c>
      <c r="AG14">
        <f>IF(Q14="","",IF(OR(ISNUMBER(SEARCH("WhatsApp",Q14)),ISNUMBER(SEARCH("YouTube",Q14)),ISNUMBER(SEARCH("Instagram",Q14)),ISNUMBER(SEARCH("Google",Q14)),ISNUMBER(SEARCH("store",Q14)),ISNUMBER(SEARCH("two sizes",Q14))),"off_app","in_app"))</f>
        <v/>
      </c>
      <c r="AH14">
        <f>IF(N14="","",IF(ISNUMBER(SEARCH("coupon",N14))+ISNUMBER(SEARCH("sale",N14))+ISNUMBER(SEARCH("kept-vs-returned",N14))+ISNUMBER(SEARCH("sentence",N14))+ISNUMBER(SEARCH("stays with",N14))+ISNUMBER(SEARCH("side-by-side",N14)),IF(ISNUMBER(SEARCH("kept-vs-returned",N14))+ISNUMBER(SEARCH("sentence",N14))+ISNUMBER(SEARCH("stays with",N14))+ISNUMBER(SEARCH("side-by-side",N14)),"legal_present",IF(ISNUMBER(SEARCH("coupon",N14))+ISNUMBER(SEARCH("sale",N14)),"coupon_only","other")),"other"))</f>
        <v/>
      </c>
    </row>
    <row r="15" ht="18" customHeight="1">
      <c r="A15" t="inlineStr">
        <is>
          <t>8/11/2026 15:59:49</t>
        </is>
      </c>
      <c r="B15" t="inlineStr">
        <is>
          <t>Yes, continue</t>
        </is>
      </c>
      <c r="C15" t="inlineStr">
        <is>
          <t>Yes</t>
        </is>
      </c>
      <c r="D15" t="inlineStr">
        <is>
          <t>Woman</t>
        </is>
      </c>
      <c r="E15" t="inlineStr">
        <is>
          <t>24–32</t>
        </is>
      </c>
      <c r="F15" t="inlineStr">
        <is>
          <t>Delhi</t>
        </is>
      </c>
      <c r="G15" t="inlineStr">
        <is>
          <t>15–40</t>
        </is>
      </c>
      <c r="H15" t="inlineStr">
        <is>
          <t>Yes</t>
        </is>
      </c>
      <c r="I15" t="inlineStr">
        <is>
          <t>About weekly</t>
        </is>
      </c>
      <c r="J15" t="inlineStr">
        <is>
          <t>I meant to buy it soon</t>
        </is>
      </c>
      <c r="K15" t="inlineStr">
        <is>
          <t>Yes</t>
        </is>
      </c>
      <c r="L15" t="inlineStr">
        <is>
          <t>I’m worried about returns, exchange-only, or a seal tag</t>
        </is>
      </c>
      <c r="M15" t="inlineStr">
        <is>
          <t>Whether I can return or exchange it, Whether the next size exists, Fit on my body / height</t>
        </is>
      </c>
      <c r="N15" t="inlineStr">
        <is>
          <t>Return / seal-tag / exchange-only written as a sentence on the card, A kept-vs-returned story from people my size and height, on the wishlist card</t>
        </is>
      </c>
      <c r="O15" t="inlineStr">
        <is>
          <t>Return policy in words, not an icon, Whether Try and Buy exists on this SKU, How this sat on someone near my height</t>
        </is>
      </c>
      <c r="P15" t="inlineStr">
        <is>
          <t>No</t>
        </is>
      </c>
      <c r="Q15" t="inlineStr">
        <is>
          <t>WhatsApp / send photos to friends or family, YouTube haul / try-on</t>
        </is>
      </c>
      <c r="R15" t="inlineStr">
        <is>
          <t>Only buy brands I have kept before, Read 50+ reviews on the product page, Ask a friend their size in that brand, Wait for a sale so a failed return hurts less</t>
        </is>
      </c>
      <c r="S15" t="inlineStr">
        <is>
          <t>No</t>
        </is>
      </c>
      <c r="T15" t="inlineStr">
        <is>
          <t>4</t>
        </is>
      </c>
      <c r="U15" t="inlineStr">
        <is>
          <t>5</t>
        </is>
      </c>
      <c r="V15" t="inlineStr">
        <is>
          <t>3</t>
        </is>
      </c>
      <c r="W15" t="inlineStr">
        <is>
          <t>2</t>
        </is>
      </c>
      <c r="X15" t="inlineStr">
        <is>
          <t>4</t>
        </is>
      </c>
      <c r="Y15" t="inlineStr">
        <is>
          <t>A shopping list I intend to buy from</t>
        </is>
      </c>
      <c r="Z15" t="inlineStr">
        <is>
          <t>Under 5'2"</t>
        </is>
      </c>
      <c r="AA15" t="inlineStr">
        <is>
          <t>L</t>
        </is>
      </c>
      <c r="AB15" t="inlineStr">
        <is>
          <t>No — ethnic runs different</t>
        </is>
      </c>
      <c r="AC15" t="inlineStr">
        <is>
          <t>Mostly workwear</t>
        </is>
      </c>
      <c r="AD15" t="inlineStr">
        <is>
          <t>Exchange-only should scream before I get attached. I found it too late.</t>
        </is>
      </c>
      <c r="AE15">
        <f>IF(C15="","",IF(AND(D15="Woman",E15="24–32",OR(F15="Bengaluru",F15="Hyderabad",F15="Delhi",F15="Gurugram",F15="Noida",F15="Coimbatore"),OR(G15="15–40",G15="41–80",G15="81+"),H15="Yes",OR(I15="Most days",I15="About weekly")),"YES","NO"))</f>
        <v/>
      </c>
      <c r="AF15">
        <f>IF(L15="","",IF(ISNUMBER(SEARCH("fit",L15)),"fit",IF(ISNUMBER(SEARCH("return",L15))+ISNUMBER(SEARCH("seal",L15)),"return",IF(ISNUMBER(SEARCH("chart",L15)),"chart",IF(ISNUMBER(SEARCH("choose",L15)),"compare",IF(ISNUMBER(SEARCH("sale",L15)),"sale",IF(ISNUMBER(SEARCH("never",L15)),"bookmark",IF(ISNUMBER(SEARCH("mess",L15)),"clutter",IF(ISNUMBER(SEARCH("wear it",L15)),"occasion",IF(ISNUMBER(SEARCH("quality",L15)),"quality","other"))))))))))</f>
        <v/>
      </c>
      <c r="AG15">
        <f>IF(Q15="","",IF(OR(ISNUMBER(SEARCH("WhatsApp",Q15)),ISNUMBER(SEARCH("YouTube",Q15)),ISNUMBER(SEARCH("Instagram",Q15)),ISNUMBER(SEARCH("Google",Q15)),ISNUMBER(SEARCH("store",Q15)),ISNUMBER(SEARCH("two sizes",Q15))),"off_app","in_app"))</f>
        <v/>
      </c>
      <c r="AH15">
        <f>IF(N15="","",IF(ISNUMBER(SEARCH("coupon",N15))+ISNUMBER(SEARCH("sale",N15))+ISNUMBER(SEARCH("kept-vs-returned",N15))+ISNUMBER(SEARCH("sentence",N15))+ISNUMBER(SEARCH("stays with",N15))+ISNUMBER(SEARCH("side-by-side",N15)),IF(ISNUMBER(SEARCH("kept-vs-returned",N15))+ISNUMBER(SEARCH("sentence",N15))+ISNUMBER(SEARCH("stays with",N15))+ISNUMBER(SEARCH("side-by-side",N15)),"legal_present",IF(ISNUMBER(SEARCH("coupon",N15))+ISNUMBER(SEARCH("sale",N15)),"coupon_only","other")),"other"))</f>
        <v/>
      </c>
    </row>
    <row r="16" ht="18" customHeight="1">
      <c r="A16" t="inlineStr">
        <is>
          <t>8/12/2026 2:49:21</t>
        </is>
      </c>
      <c r="B16" t="inlineStr">
        <is>
          <t>Yes, continue</t>
        </is>
      </c>
      <c r="C16" t="inlineStr">
        <is>
          <t>Yes</t>
        </is>
      </c>
      <c r="D16" t="inlineStr">
        <is>
          <t>Woman</t>
        </is>
      </c>
      <c r="E16" t="inlineStr">
        <is>
          <t>24–32</t>
        </is>
      </c>
      <c r="F16" t="inlineStr">
        <is>
          <t>Coimbatore</t>
        </is>
      </c>
      <c r="G16" t="inlineStr">
        <is>
          <t>15–40</t>
        </is>
      </c>
      <c r="H16" t="inlineStr">
        <is>
          <t>Yes</t>
        </is>
      </c>
      <c r="I16" t="inlineStr">
        <is>
          <t>Most days</t>
        </is>
      </c>
      <c r="J16" t="inlineStr">
        <is>
          <t>I meant to buy it soon</t>
        </is>
      </c>
      <c r="K16" t="inlineStr">
        <is>
          <t>Yes</t>
        </is>
      </c>
      <c r="L16" t="inlineStr">
        <is>
          <t>I’m worried about returns, exchange-only, or a seal tag</t>
        </is>
      </c>
      <c r="M16" t="inlineStr">
        <is>
          <t>Whether I can return or exchange it, Whether the next size exists, Fit on my body / height</t>
        </is>
      </c>
      <c r="N16" t="inlineStr">
        <is>
          <t>Return / seal-tag / exchange-only written as a sentence on the card, A kept-vs-returned story from people my size and height, on the wishlist card, A coupon or sale</t>
        </is>
      </c>
      <c r="O16" t="inlineStr">
        <is>
          <t>Return policy in words, not an icon, Whether Try and Buy exists on this SKU, How this sat on someone near my height</t>
        </is>
      </c>
      <c r="P16" t="inlineStr">
        <is>
          <t>No</t>
        </is>
      </c>
      <c r="Q16" t="inlineStr">
        <is>
          <t>WhatsApp / send photos to friends or family, YouTube haul / try-on, Visit a store to touch fabric or try a similar cut</t>
        </is>
      </c>
      <c r="R16" t="inlineStr">
        <is>
          <t>Only buy brands I have kept before, Read 50+ reviews on the product page, Ask a friend their size in that brand, Order two sizes, Wait for a sale so a failed return hurts less</t>
        </is>
      </c>
      <c r="S16" t="inlineStr">
        <is>
          <t>Yes</t>
        </is>
      </c>
      <c r="T16" t="inlineStr">
        <is>
          <t>4</t>
        </is>
      </c>
      <c r="U16" t="inlineStr">
        <is>
          <t>5</t>
        </is>
      </c>
      <c r="V16" t="inlineStr">
        <is>
          <t>3</t>
        </is>
      </c>
      <c r="W16" t="inlineStr">
        <is>
          <t>2</t>
        </is>
      </c>
      <c r="X16" t="inlineStr">
        <is>
          <t>4</t>
        </is>
      </c>
      <c r="Y16" t="inlineStr">
        <is>
          <t>A shopping list I intend to buy from</t>
        </is>
      </c>
      <c r="Z16" t="inlineStr">
        <is>
          <t>5'5"–5'8"</t>
        </is>
      </c>
      <c r="AA16" t="inlineStr">
        <is>
          <t>XS</t>
        </is>
      </c>
      <c r="AB16" t="inlineStr">
        <is>
          <t>No — ethnic runs different</t>
        </is>
      </c>
      <c r="AC16" t="inlineStr">
        <is>
          <t>Mix of workwear and occasion</t>
        </is>
      </c>
      <c r="AD16" t="inlineStr">
        <is>
          <t>Seal tag means I cannot actually try it. So I don’t buy from a photo.</t>
        </is>
      </c>
      <c r="AE16">
        <f>IF(C16="","",IF(AND(D16="Woman",E16="24–32",OR(F16="Bengaluru",F16="Hyderabad",F16="Delhi",F16="Gurugram",F16="Noida",F16="Coimbatore"),OR(G16="15–40",G16="41–80",G16="81+"),H16="Yes",OR(I16="Most days",I16="About weekly")),"YES","NO"))</f>
        <v/>
      </c>
      <c r="AF16">
        <f>IF(L16="","",IF(ISNUMBER(SEARCH("fit",L16)),"fit",IF(ISNUMBER(SEARCH("return",L16))+ISNUMBER(SEARCH("seal",L16)),"return",IF(ISNUMBER(SEARCH("chart",L16)),"chart",IF(ISNUMBER(SEARCH("choose",L16)),"compare",IF(ISNUMBER(SEARCH("sale",L16)),"sale",IF(ISNUMBER(SEARCH("never",L16)),"bookmark",IF(ISNUMBER(SEARCH("mess",L16)),"clutter",IF(ISNUMBER(SEARCH("wear it",L16)),"occasion",IF(ISNUMBER(SEARCH("quality",L16)),"quality","other"))))))))))</f>
        <v/>
      </c>
      <c r="AG16">
        <f>IF(Q16="","",IF(OR(ISNUMBER(SEARCH("WhatsApp",Q16)),ISNUMBER(SEARCH("YouTube",Q16)),ISNUMBER(SEARCH("Instagram",Q16)),ISNUMBER(SEARCH("Google",Q16)),ISNUMBER(SEARCH("store",Q16)),ISNUMBER(SEARCH("two sizes",Q16))),"off_app","in_app"))</f>
        <v/>
      </c>
      <c r="AH16">
        <f>IF(N16="","",IF(ISNUMBER(SEARCH("coupon",N16))+ISNUMBER(SEARCH("sale",N16))+ISNUMBER(SEARCH("kept-vs-returned",N16))+ISNUMBER(SEARCH("sentence",N16))+ISNUMBER(SEARCH("stays with",N16))+ISNUMBER(SEARCH("side-by-side",N16)),IF(ISNUMBER(SEARCH("kept-vs-returned",N16))+ISNUMBER(SEARCH("sentence",N16))+ISNUMBER(SEARCH("stays with",N16))+ISNUMBER(SEARCH("side-by-side",N16)),"legal_present",IF(ISNUMBER(SEARCH("coupon",N16))+ISNUMBER(SEARCH("sale",N16)),"coupon_only","other")),"other"))</f>
        <v/>
      </c>
    </row>
    <row r="17" ht="18" customHeight="1">
      <c r="A17" t="inlineStr">
        <is>
          <t>8/12/2026 9:02:33</t>
        </is>
      </c>
      <c r="B17" t="inlineStr">
        <is>
          <t>Yes, continue</t>
        </is>
      </c>
      <c r="C17" t="inlineStr">
        <is>
          <t>Yes</t>
        </is>
      </c>
      <c r="D17" t="inlineStr">
        <is>
          <t>Woman</t>
        </is>
      </c>
      <c r="E17" t="inlineStr">
        <is>
          <t>24–32</t>
        </is>
      </c>
      <c r="F17" t="inlineStr">
        <is>
          <t>Noida</t>
        </is>
      </c>
      <c r="G17" t="inlineStr">
        <is>
          <t>15–40</t>
        </is>
      </c>
      <c r="H17" t="inlineStr">
        <is>
          <t>Yes</t>
        </is>
      </c>
      <c r="I17" t="inlineStr">
        <is>
          <t>Most days</t>
        </is>
      </c>
      <c r="J17" t="inlineStr">
        <is>
          <t>For an occasion / event coming up</t>
        </is>
      </c>
      <c r="K17" t="inlineStr">
        <is>
          <t>Maybe</t>
        </is>
      </c>
      <c r="L17" t="inlineStr">
        <is>
          <t>I’m not sure when or where I’d wear it</t>
        </is>
      </c>
      <c r="M17" t="inlineStr">
        <is>
          <t>Occasion / office-appropriateness</t>
        </is>
      </c>
      <c r="N17" t="inlineStr">
        <is>
          <t>A kept-vs-returned story from people my size and height, on the wishlist card, A suggested size that stays with the saved item (not only on the product page)</t>
        </is>
      </c>
      <c r="O17" t="inlineStr">
        <is>
          <t>How this sat on someone near my height, Return policy in words, not an icon</t>
        </is>
      </c>
      <c r="P17" t="inlineStr">
        <is>
          <t>No</t>
        </is>
      </c>
      <c r="Q17" t="inlineStr">
        <is>
          <t>WhatsApp / send photos to friends or family, YouTube haul / try-on</t>
        </is>
      </c>
      <c r="R17" t="inlineStr">
        <is>
          <t>Only buy brands I have kept before, Read 50+ reviews on the product page, Ask a friend their size in that brand, Don’t buy — leave it wishlisted</t>
        </is>
      </c>
      <c r="S17" t="inlineStr">
        <is>
          <t>Yes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5</t>
        </is>
      </c>
      <c r="X17" t="inlineStr">
        <is>
          <t>4</t>
        </is>
      </c>
      <c r="Y17" t="inlineStr">
        <is>
          <t>A mix</t>
        </is>
      </c>
      <c r="Z17" t="inlineStr">
        <is>
          <t>5'2"–5'5"</t>
        </is>
      </c>
      <c r="AA17" t="inlineStr">
        <is>
          <t>M</t>
        </is>
      </c>
      <c r="AB17" t="inlineStr">
        <is>
          <t>No — ethnic runs different</t>
        </is>
      </c>
      <c r="AC17" t="inlineStr">
        <is>
          <t>Mix of workwear and occasion</t>
        </is>
      </c>
      <c r="AD17" t="inlineStr">
        <is>
          <t>Function is in three weeks. Dupatta length and seal tag — that’s the stall.</t>
        </is>
      </c>
      <c r="AE17">
        <f>IF(C17="","",IF(AND(D17="Woman",E17="24–32",OR(F17="Bengaluru",F17="Hyderabad",F17="Delhi",F17="Gurugram",F17="Noida",F17="Coimbatore"),OR(G17="15–40",G17="41–80",G17="81+"),H17="Yes",OR(I17="Most days",I17="About weekly")),"YES","NO"))</f>
        <v/>
      </c>
      <c r="AF17">
        <f>IF(L17="","",IF(ISNUMBER(SEARCH("fit",L17)),"fit",IF(ISNUMBER(SEARCH("return",L17))+ISNUMBER(SEARCH("seal",L17)),"return",IF(ISNUMBER(SEARCH("chart",L17)),"chart",IF(ISNUMBER(SEARCH("choose",L17)),"compare",IF(ISNUMBER(SEARCH("sale",L17)),"sale",IF(ISNUMBER(SEARCH("never",L17)),"bookmark",IF(ISNUMBER(SEARCH("mess",L17)),"clutter",IF(ISNUMBER(SEARCH("wear it",L17)),"occasion",IF(ISNUMBER(SEARCH("quality",L17)),"quality","other"))))))))))</f>
        <v/>
      </c>
      <c r="AG17">
        <f>IF(Q17="","",IF(OR(ISNUMBER(SEARCH("WhatsApp",Q17)),ISNUMBER(SEARCH("YouTube",Q17)),ISNUMBER(SEARCH("Instagram",Q17)),ISNUMBER(SEARCH("Google",Q17)),ISNUMBER(SEARCH("store",Q17)),ISNUMBER(SEARCH("two sizes",Q17))),"off_app","in_app"))</f>
        <v/>
      </c>
      <c r="AH17">
        <f>IF(N17="","",IF(ISNUMBER(SEARCH("coupon",N17))+ISNUMBER(SEARCH("sale",N17))+ISNUMBER(SEARCH("kept-vs-returned",N17))+ISNUMBER(SEARCH("sentence",N17))+ISNUMBER(SEARCH("stays with",N17))+ISNUMBER(SEARCH("side-by-side",N17)),IF(ISNUMBER(SEARCH("kept-vs-returned",N17))+ISNUMBER(SEARCH("sentence",N17))+ISNUMBER(SEARCH("stays with",N17))+ISNUMBER(SEARCH("side-by-side",N17)),"legal_present",IF(ISNUMBER(SEARCH("coupon",N17))+ISNUMBER(SEARCH("sale",N17)),"coupon_only","other")),"other"))</f>
        <v/>
      </c>
    </row>
    <row r="18" ht="18" customHeight="1">
      <c r="A18" t="inlineStr">
        <is>
          <t>8/12/2026 10:06:49</t>
        </is>
      </c>
      <c r="B18" t="inlineStr">
        <is>
          <t>Yes, continue</t>
        </is>
      </c>
      <c r="C18" t="inlineStr">
        <is>
          <t>Yes</t>
        </is>
      </c>
      <c r="D18" t="inlineStr">
        <is>
          <t>Woman</t>
        </is>
      </c>
      <c r="E18" t="inlineStr">
        <is>
          <t>24–32</t>
        </is>
      </c>
      <c r="F18" t="inlineStr">
        <is>
          <t>Pune</t>
        </is>
      </c>
      <c r="G18" t="inlineStr">
        <is>
          <t>15–40</t>
        </is>
      </c>
      <c r="H18" t="inlineStr">
        <is>
          <t>Yes</t>
        </is>
      </c>
      <c r="I18" t="inlineStr">
        <is>
          <t>Rarely</t>
        </is>
      </c>
      <c r="J18" t="inlineStr">
        <is>
          <t>I meant to buy it soon</t>
        </is>
      </c>
      <c r="K18" t="inlineStr">
        <is>
          <t>Yes</t>
        </is>
      </c>
      <c r="L18" t="inlineStr">
        <is>
          <t>I don’t know if it will fit me / this brand’s cut</t>
        </is>
      </c>
      <c r="M18" t="inlineStr">
        <is>
          <t>Fit on my body / height, Which size to pick, Whether I can return or exchange it</t>
        </is>
      </c>
      <c r="N18" t="inlineStr">
        <is>
          <t>A kept-vs-returned story from people my size and height, on the wishlist card, A suggested size that stays with the saved item (not only on the product page), A friend telling me to buy it</t>
        </is>
      </c>
      <c r="O18" t="inlineStr">
        <is>
          <t>How this sat on someone near my height, Whether people who wear my usual size kept it, Length / crop / rise for my height</t>
        </is>
      </c>
      <c r="P18" t="inlineStr">
        <is>
          <t>No</t>
        </is>
      </c>
      <c r="Q18" t="inlineStr">
        <is>
          <t>WhatsApp / send photos to friends or family, YouTube haul / try-on, Google size charts or reviews</t>
        </is>
      </c>
      <c r="R18" t="inlineStr">
        <is>
          <t>Only buy brands I have kept before, Read 50+ reviews on the product page</t>
        </is>
      </c>
      <c r="S18" t="inlineStr">
        <is>
          <t>Yes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2</t>
        </is>
      </c>
      <c r="X18" t="inlineStr">
        <is>
          <t>4</t>
        </is>
      </c>
      <c r="Y18" t="inlineStr">
        <is>
          <t>A shopping list I intend to buy from</t>
        </is>
      </c>
      <c r="Z18" t="inlineStr">
        <is>
          <t>5'2"–5'5"</t>
        </is>
      </c>
      <c r="AA18" t="inlineStr">
        <is>
          <t>M</t>
        </is>
      </c>
      <c r="AB18" t="inlineStr">
        <is>
          <t>No — ethnic runs different</t>
        </is>
      </c>
      <c r="AC18" t="inlineStr">
        <is>
          <t>Mix of workwear and occasion</t>
        </is>
      </c>
      <c r="AD18" t="inlineStr">
        <is>
          <t>Reviews split on size up. I will not play that with a ₹3,000 dress.</t>
        </is>
      </c>
      <c r="AE18">
        <f>IF(C18="","",IF(AND(D18="Woman",E18="24–32",OR(F18="Bengaluru",F18="Hyderabad",F18="Delhi",F18="Gurugram",F18="Noida",F18="Coimbatore"),OR(G18="15–40",G18="41–80",G18="81+"),H18="Yes",OR(I18="Most days",I18="About weekly")),"YES","NO"))</f>
        <v/>
      </c>
      <c r="AF18">
        <f>IF(L18="","",IF(ISNUMBER(SEARCH("fit",L18)),"fit",IF(ISNUMBER(SEARCH("return",L18))+ISNUMBER(SEARCH("seal",L18)),"return",IF(ISNUMBER(SEARCH("chart",L18)),"chart",IF(ISNUMBER(SEARCH("choose",L18)),"compare",IF(ISNUMBER(SEARCH("sale",L18)),"sale",IF(ISNUMBER(SEARCH("never",L18)),"bookmark",IF(ISNUMBER(SEARCH("mess",L18)),"clutter",IF(ISNUMBER(SEARCH("wear it",L18)),"occasion",IF(ISNUMBER(SEARCH("quality",L18)),"quality","other"))))))))))</f>
        <v/>
      </c>
      <c r="AG18">
        <f>IF(Q18="","",IF(OR(ISNUMBER(SEARCH("WhatsApp",Q18)),ISNUMBER(SEARCH("YouTube",Q18)),ISNUMBER(SEARCH("Instagram",Q18)),ISNUMBER(SEARCH("Google",Q18)),ISNUMBER(SEARCH("store",Q18)),ISNUMBER(SEARCH("two sizes",Q18))),"off_app","in_app"))</f>
        <v/>
      </c>
      <c r="AH18">
        <f>IF(N18="","",IF(ISNUMBER(SEARCH("coupon",N18))+ISNUMBER(SEARCH("sale",N18))+ISNUMBER(SEARCH("kept-vs-returned",N18))+ISNUMBER(SEARCH("sentence",N18))+ISNUMBER(SEARCH("stays with",N18))+ISNUMBER(SEARCH("side-by-side",N18)),IF(ISNUMBER(SEARCH("kept-vs-returned",N18))+ISNUMBER(SEARCH("sentence",N18))+ISNUMBER(SEARCH("stays with",N18))+ISNUMBER(SEARCH("side-by-side",N18)),"legal_present",IF(ISNUMBER(SEARCH("coupon",N18))+ISNUMBER(SEARCH("sale",N18)),"coupon_only","other")),"other"))</f>
        <v/>
      </c>
    </row>
    <row r="19" ht="18" customHeight="1">
      <c r="A19" t="inlineStr">
        <is>
          <t>8/12/2026 17:06:23</t>
        </is>
      </c>
      <c r="B19" t="inlineStr">
        <is>
          <t>Yes, continue</t>
        </is>
      </c>
      <c r="C19" t="inlineStr">
        <is>
          <t>Yes</t>
        </is>
      </c>
      <c r="D19" t="inlineStr">
        <is>
          <t>Woman</t>
        </is>
      </c>
      <c r="E19" t="inlineStr">
        <is>
          <t>24–32</t>
        </is>
      </c>
      <c r="F19" t="inlineStr">
        <is>
          <t>Delhi</t>
        </is>
      </c>
      <c r="G19" t="inlineStr">
        <is>
          <t>15–40</t>
        </is>
      </c>
      <c r="H19" t="inlineStr">
        <is>
          <t>Yes</t>
        </is>
      </c>
      <c r="I19" t="inlineStr">
        <is>
          <t>About weekly</t>
        </is>
      </c>
      <c r="J19" t="inlineStr">
        <is>
          <t>Waiting for a sale or price drop</t>
        </is>
      </c>
      <c r="K19" t="inlineStr">
        <is>
          <t>Yes</t>
        </is>
      </c>
      <c r="L19" t="inlineStr">
        <is>
          <t>I’m waiting for a sale or discount</t>
        </is>
      </c>
      <c r="M19" t="inlineStr">
        <is>
          <t>Price, Whether I can return or exchange it</t>
        </is>
      </c>
      <c r="N19" t="inlineStr">
        <is>
          <t>A coupon or sale, Return / seal-tag / exchange-only written as a sentence on the card, A kept-vs-returned story from people my size and height, on the wishlist card</t>
        </is>
      </c>
      <c r="O19" t="inlineStr">
        <is>
          <t>How this sat on someone near my height, Return policy in words, not an icon</t>
        </is>
      </c>
      <c r="P19" t="inlineStr">
        <is>
          <t>Yes — I will buy one of them</t>
        </is>
      </c>
      <c r="Q19" t="inlineStr">
        <is>
          <t>WhatsApp / send photos to friends or family, YouTube haul / try-on, Google size charts or reviews</t>
        </is>
      </c>
      <c r="R19" t="inlineStr">
        <is>
          <t>Only buy brands I have kept before, Read 50+ reviews on the product page, Wait for a sale so a failed return hurts less, Don’t buy — leave it wishlisted</t>
        </is>
      </c>
      <c r="S19" t="inlineStr">
        <is>
          <t>Yes</t>
        </is>
      </c>
      <c r="T19" t="inlineStr">
        <is>
          <t>3</t>
        </is>
      </c>
      <c r="U19" t="inlineStr">
        <is>
          <t>4</t>
        </is>
      </c>
      <c r="V19" t="inlineStr">
        <is>
          <t>5</t>
        </is>
      </c>
      <c r="W19" t="inlineStr">
        <is>
          <t>2</t>
        </is>
      </c>
      <c r="X19" t="inlineStr">
        <is>
          <t>4</t>
        </is>
      </c>
      <c r="Y19" t="inlineStr">
        <is>
          <t>A shopping list I intend to buy from</t>
        </is>
      </c>
      <c r="Z19" t="inlineStr">
        <is>
          <t>5'5"–5'8"</t>
        </is>
      </c>
      <c r="AA19" t="inlineStr">
        <is>
          <t>M</t>
        </is>
      </c>
      <c r="AB19" t="inlineStr">
        <is>
          <t>No — ethnic runs different</t>
        </is>
      </c>
      <c r="AC19" t="inlineStr">
        <is>
          <t>Mix of workwear and occasion</t>
        </is>
      </c>
      <c r="AD19" t="inlineStr">
        <is>
          <t>Discounted plus nasty returns. I saved thinking both. Only one was true.</t>
        </is>
      </c>
      <c r="AE19">
        <f>IF(C19="","",IF(AND(D19="Woman",E19="24–32",OR(F19="Bengaluru",F19="Hyderabad",F19="Delhi",F19="Gurugram",F19="Noida",F19="Coimbatore"),OR(G19="15–40",G19="41–80",G19="81+"),H19="Yes",OR(I19="Most days",I19="About weekly")),"YES","NO"))</f>
        <v/>
      </c>
      <c r="AF19">
        <f>IF(L19="","",IF(ISNUMBER(SEARCH("fit",L19)),"fit",IF(ISNUMBER(SEARCH("return",L19))+ISNUMBER(SEARCH("seal",L19)),"return",IF(ISNUMBER(SEARCH("chart",L19)),"chart",IF(ISNUMBER(SEARCH("choose",L19)),"compare",IF(ISNUMBER(SEARCH("sale",L19)),"sale",IF(ISNUMBER(SEARCH("never",L19)),"bookmark",IF(ISNUMBER(SEARCH("mess",L19)),"clutter",IF(ISNUMBER(SEARCH("wear it",L19)),"occasion",IF(ISNUMBER(SEARCH("quality",L19)),"quality","other"))))))))))</f>
        <v/>
      </c>
      <c r="AG19">
        <f>IF(Q19="","",IF(OR(ISNUMBER(SEARCH("WhatsApp",Q19)),ISNUMBER(SEARCH("YouTube",Q19)),ISNUMBER(SEARCH("Instagram",Q19)),ISNUMBER(SEARCH("Google",Q19)),ISNUMBER(SEARCH("store",Q19)),ISNUMBER(SEARCH("two sizes",Q19))),"off_app","in_app"))</f>
        <v/>
      </c>
      <c r="AH19">
        <f>IF(N19="","",IF(ISNUMBER(SEARCH("coupon",N19))+ISNUMBER(SEARCH("sale",N19))+ISNUMBER(SEARCH("kept-vs-returned",N19))+ISNUMBER(SEARCH("sentence",N19))+ISNUMBER(SEARCH("stays with",N19))+ISNUMBER(SEARCH("side-by-side",N19)),IF(ISNUMBER(SEARCH("kept-vs-returned",N19))+ISNUMBER(SEARCH("sentence",N19))+ISNUMBER(SEARCH("stays with",N19))+ISNUMBER(SEARCH("side-by-side",N19)),"legal_present",IF(ISNUMBER(SEARCH("coupon",N19))+ISNUMBER(SEARCH("sale",N19)),"coupon_only","other")),"other"))</f>
        <v/>
      </c>
    </row>
    <row r="20" ht="18" customHeight="1">
      <c r="A20" t="inlineStr">
        <is>
          <t>8/13/2026 1:08:13</t>
        </is>
      </c>
      <c r="B20" t="inlineStr">
        <is>
          <t>Yes, continue</t>
        </is>
      </c>
      <c r="C20" t="inlineStr">
        <is>
          <t>Yes</t>
        </is>
      </c>
      <c r="D20" t="inlineStr">
        <is>
          <t>Woman</t>
        </is>
      </c>
      <c r="E20" t="inlineStr">
        <is>
          <t>24–32</t>
        </is>
      </c>
      <c r="F20" t="inlineStr">
        <is>
          <t>Hyderabad</t>
        </is>
      </c>
      <c r="G20" t="inlineStr">
        <is>
          <t>15–40</t>
        </is>
      </c>
      <c r="H20" t="inlineStr">
        <is>
          <t>Yes</t>
        </is>
      </c>
      <c r="I20" t="inlineStr">
        <is>
          <t>About weekly</t>
        </is>
      </c>
      <c r="J20" t="inlineStr">
        <is>
          <t>I meant to buy it soon</t>
        </is>
      </c>
      <c r="K20" t="inlineStr">
        <is>
          <t>Yes</t>
        </is>
      </c>
      <c r="L20" t="inlineStr">
        <is>
          <t>I’m worried about returns, exchange-only, or a seal tag</t>
        </is>
      </c>
      <c r="M20" t="inlineStr">
        <is>
          <t>Whether I can return or exchange it, Whether the next size exists, Fit on my body / height</t>
        </is>
      </c>
      <c r="N20" t="inlineStr">
        <is>
          <t>Return / seal-tag / exchange-only written as a sentence on the card, A kept-vs-returned story from people my size and height, on the wishlist card</t>
        </is>
      </c>
      <c r="O20" t="inlineStr">
        <is>
          <t>Return policy in words, not an icon, Whether Try and Buy exists on this SKU, How this sat on someone near my height</t>
        </is>
      </c>
      <c r="P20" t="inlineStr">
        <is>
          <t>Yes — I will buy one of them</t>
        </is>
      </c>
      <c r="Q20" t="inlineStr">
        <is>
          <t>WhatsApp / send photos to friends or family, YouTube haul / try-on</t>
        </is>
      </c>
      <c r="R20" t="inlineStr">
        <is>
          <t>Only buy brands I have kept before, Read 50+ reviews on the product page, Ask a friend their size in that brand, Wait for a sale so a failed return hurts less</t>
        </is>
      </c>
      <c r="S20" t="inlineStr">
        <is>
          <t>Not sure</t>
        </is>
      </c>
      <c r="T20" t="inlineStr">
        <is>
          <t>4</t>
        </is>
      </c>
      <c r="U20" t="inlineStr">
        <is>
          <t>5</t>
        </is>
      </c>
      <c r="V20" t="inlineStr">
        <is>
          <t>3</t>
        </is>
      </c>
      <c r="W20" t="inlineStr">
        <is>
          <t>2</t>
        </is>
      </c>
      <c r="X20" t="inlineStr">
        <is>
          <t>2</t>
        </is>
      </c>
      <c r="Y20" t="inlineStr">
        <is>
          <t>A shopping list I intend to buy from</t>
        </is>
      </c>
      <c r="Z20" t="inlineStr">
        <is>
          <t>Under 5'2"</t>
        </is>
      </c>
      <c r="AA20" t="inlineStr">
        <is>
          <t>M</t>
        </is>
      </c>
      <c r="AB20" t="inlineStr">
        <is>
          <t>Yes, same letter</t>
        </is>
      </c>
      <c r="AC20" t="inlineStr">
        <is>
          <t>Mostly occasion / ethnic</t>
        </is>
      </c>
      <c r="AD20" t="inlineStr">
        <is>
          <t>Pickup didn’t come, window expired. Now I only heart things.</t>
        </is>
      </c>
      <c r="AE20">
        <f>IF(C20="","",IF(AND(D20="Woman",E20="24–32",OR(F20="Bengaluru",F20="Hyderabad",F20="Delhi",F20="Gurugram",F20="Noida",F20="Coimbatore"),OR(G20="15–40",G20="41–80",G20="81+"),H20="Yes",OR(I20="Most days",I20="About weekly")),"YES","NO"))</f>
        <v/>
      </c>
      <c r="AF20">
        <f>IF(L20="","",IF(ISNUMBER(SEARCH("fit",L20)),"fit",IF(ISNUMBER(SEARCH("return",L20))+ISNUMBER(SEARCH("seal",L20)),"return",IF(ISNUMBER(SEARCH("chart",L20)),"chart",IF(ISNUMBER(SEARCH("choose",L20)),"compare",IF(ISNUMBER(SEARCH("sale",L20)),"sale",IF(ISNUMBER(SEARCH("never",L20)),"bookmark",IF(ISNUMBER(SEARCH("mess",L20)),"clutter",IF(ISNUMBER(SEARCH("wear it",L20)),"occasion",IF(ISNUMBER(SEARCH("quality",L20)),"quality","other"))))))))))</f>
        <v/>
      </c>
      <c r="AG20">
        <f>IF(Q20="","",IF(OR(ISNUMBER(SEARCH("WhatsApp",Q20)),ISNUMBER(SEARCH("YouTube",Q20)),ISNUMBER(SEARCH("Instagram",Q20)),ISNUMBER(SEARCH("Google",Q20)),ISNUMBER(SEARCH("store",Q20)),ISNUMBER(SEARCH("two sizes",Q20))),"off_app","in_app"))</f>
        <v/>
      </c>
      <c r="AH20">
        <f>IF(N20="","",IF(ISNUMBER(SEARCH("coupon",N20))+ISNUMBER(SEARCH("sale",N20))+ISNUMBER(SEARCH("kept-vs-returned",N20))+ISNUMBER(SEARCH("sentence",N20))+ISNUMBER(SEARCH("stays with",N20))+ISNUMBER(SEARCH("side-by-side",N20)),IF(ISNUMBER(SEARCH("kept-vs-returned",N20))+ISNUMBER(SEARCH("sentence",N20))+ISNUMBER(SEARCH("stays with",N20))+ISNUMBER(SEARCH("side-by-side",N20)),"legal_present",IF(ISNUMBER(SEARCH("coupon",N20))+ISNUMBER(SEARCH("sale",N20)),"coupon_only","other")),"other"))</f>
        <v/>
      </c>
    </row>
    <row r="21" ht="18" customHeight="1">
      <c r="A21" t="inlineStr">
        <is>
          <t>8/13/2026 1:43:49</t>
        </is>
      </c>
      <c r="B21" t="inlineStr">
        <is>
          <t>Yes, continue</t>
        </is>
      </c>
      <c r="C21" t="inlineStr">
        <is>
          <t>Yes</t>
        </is>
      </c>
      <c r="D21" t="inlineStr">
        <is>
          <t>Woman</t>
        </is>
      </c>
      <c r="E21" t="inlineStr">
        <is>
          <t>24–32</t>
        </is>
      </c>
      <c r="F21" t="inlineStr">
        <is>
          <t>Delhi</t>
        </is>
      </c>
      <c r="G21" t="inlineStr">
        <is>
          <t>15–40</t>
        </is>
      </c>
      <c r="H21" t="inlineStr">
        <is>
          <t>Yes</t>
        </is>
      </c>
      <c r="I21" t="inlineStr">
        <is>
          <t>About weekly</t>
        </is>
      </c>
      <c r="J21" t="inlineStr">
        <is>
          <t>I just liked it — not sure I’ll buy</t>
        </is>
      </c>
      <c r="K21" t="inlineStr">
        <is>
          <t>No</t>
        </is>
      </c>
      <c r="L21" t="inlineStr">
        <is>
          <t>I was never really going to buy it</t>
        </is>
      </c>
      <c r="M21" t="inlineStr">
        <is>
          <t>Nothing — I was just bookmarking</t>
        </is>
      </c>
      <c r="N21" t="inlineStr">
        <is>
          <t>Nothing — I don’t intend to buy it</t>
        </is>
      </c>
      <c r="O21" t="inlineStr">
        <is>
          <t>I have everything I need</t>
        </is>
      </c>
      <c r="P21" t="inlineStr">
        <is>
          <t>No</t>
        </is>
      </c>
      <c r="Q21" t="inlineStr">
        <is>
          <t>Instagram</t>
        </is>
      </c>
      <c r="R21" t="inlineStr">
        <is>
          <t>Don’t buy — leave it wishlisted</t>
        </is>
      </c>
      <c r="S21" t="inlineStr">
        <is>
          <t>Not sure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3</t>
        </is>
      </c>
      <c r="Y21" t="inlineStr">
        <is>
          <t>A moodboard / Pinterest</t>
        </is>
      </c>
      <c r="Z21" t="inlineStr">
        <is>
          <t>Under 5'2"</t>
        </is>
      </c>
      <c r="AA21" t="inlineStr">
        <is>
          <t>S</t>
        </is>
      </c>
      <c r="AB21" t="inlineStr">
        <is>
          <t>Yes, same letter</t>
        </is>
      </c>
      <c r="AC21" t="inlineStr">
        <is>
          <t>Mix of workwear and occasion</t>
        </is>
      </c>
      <c r="AD21" t="inlineStr">
        <is>
          <t>Don’t convert my moodboard. Half of this list is pretty, not a cart.</t>
        </is>
      </c>
      <c r="AE21">
        <f>IF(C21="","",IF(AND(D21="Woman",E21="24–32",OR(F21="Bengaluru",F21="Hyderabad",F21="Delhi",F21="Gurugram",F21="Noida",F21="Coimbatore"),OR(G21="15–40",G21="41–80",G21="81+"),H21="Yes",OR(I21="Most days",I21="About weekly")),"YES","NO"))</f>
        <v/>
      </c>
      <c r="AF21">
        <f>IF(L21="","",IF(ISNUMBER(SEARCH("fit",L21)),"fit",IF(ISNUMBER(SEARCH("return",L21))+ISNUMBER(SEARCH("seal",L21)),"return",IF(ISNUMBER(SEARCH("chart",L21)),"chart",IF(ISNUMBER(SEARCH("choose",L21)),"compare",IF(ISNUMBER(SEARCH("sale",L21)),"sale",IF(ISNUMBER(SEARCH("never",L21)),"bookmark",IF(ISNUMBER(SEARCH("mess",L21)),"clutter",IF(ISNUMBER(SEARCH("wear it",L21)),"occasion",IF(ISNUMBER(SEARCH("quality",L21)),"quality","other"))))))))))</f>
        <v/>
      </c>
      <c r="AG21">
        <f>IF(Q21="","",IF(OR(ISNUMBER(SEARCH("WhatsApp",Q21)),ISNUMBER(SEARCH("YouTube",Q21)),ISNUMBER(SEARCH("Instagram",Q21)),ISNUMBER(SEARCH("Google",Q21)),ISNUMBER(SEARCH("store",Q21)),ISNUMBER(SEARCH("two sizes",Q21))),"off_app","in_app"))</f>
        <v/>
      </c>
      <c r="AH21">
        <f>IF(N21="","",IF(ISNUMBER(SEARCH("coupon",N21))+ISNUMBER(SEARCH("sale",N21))+ISNUMBER(SEARCH("kept-vs-returned",N21))+ISNUMBER(SEARCH("sentence",N21))+ISNUMBER(SEARCH("stays with",N21))+ISNUMBER(SEARCH("side-by-side",N21)),IF(ISNUMBER(SEARCH("kept-vs-returned",N21))+ISNUMBER(SEARCH("sentence",N21))+ISNUMBER(SEARCH("stays with",N21))+ISNUMBER(SEARCH("side-by-side",N21)),"legal_present",IF(ISNUMBER(SEARCH("coupon",N21))+ISNUMBER(SEARCH("sale",N21)),"coupon_only","other")),"other"))</f>
        <v/>
      </c>
    </row>
    <row r="22" ht="18" customHeight="1">
      <c r="A22" t="inlineStr">
        <is>
          <t>8/13/2026 6:32:09</t>
        </is>
      </c>
      <c r="B22" t="inlineStr">
        <is>
          <t>Yes, continue</t>
        </is>
      </c>
      <c r="C22" t="inlineStr">
        <is>
          <t>Yes</t>
        </is>
      </c>
      <c r="D22" t="inlineStr">
        <is>
          <t>Woman</t>
        </is>
      </c>
      <c r="E22" t="inlineStr">
        <is>
          <t>24–32</t>
        </is>
      </c>
      <c r="F22" t="inlineStr">
        <is>
          <t>Mumbai</t>
        </is>
      </c>
      <c r="G22" t="inlineStr">
        <is>
          <t>15–40</t>
        </is>
      </c>
      <c r="H22" t="inlineStr">
        <is>
          <t>Yes</t>
        </is>
      </c>
      <c r="I22" t="inlineStr">
        <is>
          <t>Most days</t>
        </is>
      </c>
      <c r="J22" t="inlineStr">
        <is>
          <t>I meant to buy it soon</t>
        </is>
      </c>
      <c r="K22" t="inlineStr">
        <is>
          <t>Yes</t>
        </is>
      </c>
      <c r="L22" t="inlineStr">
        <is>
          <t>I’m worried about returns, exchange-only, or a seal tag</t>
        </is>
      </c>
      <c r="M22" t="inlineStr">
        <is>
          <t>Whether I can return or exchange it, Whether the next size exists, Fit on my body / height</t>
        </is>
      </c>
      <c r="N22" t="inlineStr">
        <is>
          <t>Return / seal-tag / exchange-only written as a sentence on the card, A kept-vs-returned story from people my size and height, on the wishlist card, A coupon or sale</t>
        </is>
      </c>
      <c r="O22" t="inlineStr">
        <is>
          <t>Return policy in words, not an icon, Whether Try and Buy exists on this SKU, How this sat on someone near my height</t>
        </is>
      </c>
      <c r="P22" t="inlineStr">
        <is>
          <t>Yes — but I may buy none</t>
        </is>
      </c>
      <c r="Q22" t="inlineStr">
        <is>
          <t>WhatsApp / send photos to friends or family, YouTube haul / try-on, Instagram</t>
        </is>
      </c>
      <c r="R22" t="inlineStr">
        <is>
          <t>Only buy brands I have kept before, Read 50+ reviews on the product page, Ask a friend their size in that brand, Wait for a sale so a failed return hurts less, Don’t buy — leave it wishlisted</t>
        </is>
      </c>
      <c r="S22" t="inlineStr">
        <is>
          <t>Yes</t>
        </is>
      </c>
      <c r="T22" t="inlineStr">
        <is>
          <t>4</t>
        </is>
      </c>
      <c r="U22" t="inlineStr">
        <is>
          <t>5</t>
        </is>
      </c>
      <c r="V22" t="inlineStr">
        <is>
          <t>3</t>
        </is>
      </c>
      <c r="W22" t="inlineStr">
        <is>
          <t>2</t>
        </is>
      </c>
      <c r="X22" t="inlineStr">
        <is>
          <t>2</t>
        </is>
      </c>
      <c r="Y22" t="inlineStr">
        <is>
          <t>A shopping list I intend to buy from</t>
        </is>
      </c>
      <c r="Z22" t="inlineStr">
        <is>
          <t>5'5"–5'8"</t>
        </is>
      </c>
      <c r="AA22" t="inlineStr">
        <is>
          <t>M</t>
        </is>
      </c>
      <c r="AB22" t="inlineStr">
        <is>
          <t>Yes, same letter</t>
        </is>
      </c>
      <c r="AC22" t="inlineStr">
        <is>
          <t>Mostly workwear</t>
        </is>
      </c>
      <c r="AD22" t="inlineStr">
        <is>
          <t>I have the money. I don’t have another Sunday for a reverse pickup.</t>
        </is>
      </c>
      <c r="AE22">
        <f>IF(C22="","",IF(AND(D22="Woman",E22="24–32",OR(F22="Bengaluru",F22="Hyderabad",F22="Delhi",F22="Gurugram",F22="Noida",F22="Coimbatore"),OR(G22="15–40",G22="41–80",G22="81+"),H22="Yes",OR(I22="Most days",I22="About weekly")),"YES","NO"))</f>
        <v/>
      </c>
      <c r="AF22">
        <f>IF(L22="","",IF(ISNUMBER(SEARCH("fit",L22)),"fit",IF(ISNUMBER(SEARCH("return",L22))+ISNUMBER(SEARCH("seal",L22)),"return",IF(ISNUMBER(SEARCH("chart",L22)),"chart",IF(ISNUMBER(SEARCH("choose",L22)),"compare",IF(ISNUMBER(SEARCH("sale",L22)),"sale",IF(ISNUMBER(SEARCH("never",L22)),"bookmark",IF(ISNUMBER(SEARCH("mess",L22)),"clutter",IF(ISNUMBER(SEARCH("wear it",L22)),"occasion",IF(ISNUMBER(SEARCH("quality",L22)),"quality","other"))))))))))</f>
        <v/>
      </c>
      <c r="AG22">
        <f>IF(Q22="","",IF(OR(ISNUMBER(SEARCH("WhatsApp",Q22)),ISNUMBER(SEARCH("YouTube",Q22)),ISNUMBER(SEARCH("Instagram",Q22)),ISNUMBER(SEARCH("Google",Q22)),ISNUMBER(SEARCH("store",Q22)),ISNUMBER(SEARCH("two sizes",Q22))),"off_app","in_app"))</f>
        <v/>
      </c>
      <c r="AH22">
        <f>IF(N22="","",IF(ISNUMBER(SEARCH("coupon",N22))+ISNUMBER(SEARCH("sale",N22))+ISNUMBER(SEARCH("kept-vs-returned",N22))+ISNUMBER(SEARCH("sentence",N22))+ISNUMBER(SEARCH("stays with",N22))+ISNUMBER(SEARCH("side-by-side",N22)),IF(ISNUMBER(SEARCH("kept-vs-returned",N22))+ISNUMBER(SEARCH("sentence",N22))+ISNUMBER(SEARCH("stays with",N22))+ISNUMBER(SEARCH("side-by-side",N22)),"legal_present",IF(ISNUMBER(SEARCH("coupon",N22))+ISNUMBER(SEARCH("sale",N22)),"coupon_only","other")),"other"))</f>
        <v/>
      </c>
    </row>
    <row r="23" ht="18" customHeight="1">
      <c r="A23" t="inlineStr">
        <is>
          <t>8/13/2026 9:24:00</t>
        </is>
      </c>
      <c r="B23" t="inlineStr">
        <is>
          <t>Yes, continue</t>
        </is>
      </c>
      <c r="C23" t="inlineStr">
        <is>
          <t>Yes</t>
        </is>
      </c>
      <c r="D23" t="inlineStr">
        <is>
          <t>Woman</t>
        </is>
      </c>
      <c r="E23" t="inlineStr">
        <is>
          <t>24–32</t>
        </is>
      </c>
      <c r="F23" t="inlineStr">
        <is>
          <t>Gurugram</t>
        </is>
      </c>
      <c r="G23" t="inlineStr">
        <is>
          <t>15–40</t>
        </is>
      </c>
      <c r="H23" t="inlineStr">
        <is>
          <t>Yes</t>
        </is>
      </c>
      <c r="I23" t="inlineStr">
        <is>
          <t>About weekly</t>
        </is>
      </c>
      <c r="J23" t="inlineStr">
        <is>
          <t>I meant to buy it soon</t>
        </is>
      </c>
      <c r="K23" t="inlineStr">
        <is>
          <t>Yes</t>
        </is>
      </c>
      <c r="L23" t="inlineStr">
        <is>
          <t>I don’t know if it will fit me / this brand’s cut</t>
        </is>
      </c>
      <c r="M23" t="inlineStr">
        <is>
          <t>Fit on my body / height, Which size to pick</t>
        </is>
      </c>
      <c r="N23" t="inlineStr">
        <is>
          <t>A kept-vs-returned story from people my size and height, on the wishlist card, A suggested size that stays with the saved item (not only on the product page)</t>
        </is>
      </c>
      <c r="O23" t="inlineStr">
        <is>
          <t>How this sat on someone near my height, Whether people who wear my usual size kept it, Length / crop / rise for my height, Ethnic size vs my top size, labelled separately</t>
        </is>
      </c>
      <c r="P23" t="inlineStr">
        <is>
          <t>No</t>
        </is>
      </c>
      <c r="Q23" t="inlineStr">
        <is>
          <t>WhatsApp / send photos to friends or family, YouTube haul / try-on, Visit a store to touch fabric or try a similar cut</t>
        </is>
      </c>
      <c r="R23" t="inlineStr">
        <is>
          <t>Only buy brands I have kept before, Read 50+ reviews on the product page, Don’t buy — leave it wishlisted</t>
        </is>
      </c>
      <c r="S23" t="inlineStr">
        <is>
          <t>Yes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A shopping list I intend to buy from</t>
        </is>
      </c>
      <c r="Z23" t="inlineStr">
        <is>
          <t>5'2"–5'5"</t>
        </is>
      </c>
      <c r="AA23" t="inlineStr">
        <is>
          <t>M</t>
        </is>
      </c>
      <c r="AB23" t="inlineStr">
        <is>
          <t>No — ethnic runs different</t>
        </is>
      </c>
      <c r="AC23" t="inlineStr">
        <is>
          <t>Mix of workwear and occasion</t>
        </is>
      </c>
      <c r="AD23" t="inlineStr"/>
      <c r="AE23">
        <f>IF(C23="","",IF(AND(D23="Woman",E23="24–32",OR(F23="Bengaluru",F23="Hyderabad",F23="Delhi",F23="Gurugram",F23="Noida",F23="Coimbatore"),OR(G23="15–40",G23="41–80",G23="81+"),H23="Yes",OR(I23="Most days",I23="About weekly")),"YES","NO"))</f>
        <v/>
      </c>
      <c r="AF23">
        <f>IF(L23="","",IF(ISNUMBER(SEARCH("fit",L23)),"fit",IF(ISNUMBER(SEARCH("return",L23))+ISNUMBER(SEARCH("seal",L23)),"return",IF(ISNUMBER(SEARCH("chart",L23)),"chart",IF(ISNUMBER(SEARCH("choose",L23)),"compare",IF(ISNUMBER(SEARCH("sale",L23)),"sale",IF(ISNUMBER(SEARCH("never",L23)),"bookmark",IF(ISNUMBER(SEARCH("mess",L23)),"clutter",IF(ISNUMBER(SEARCH("wear it",L23)),"occasion",IF(ISNUMBER(SEARCH("quality",L23)),"quality","other"))))))))))</f>
        <v/>
      </c>
      <c r="AG23">
        <f>IF(Q23="","",IF(OR(ISNUMBER(SEARCH("WhatsApp",Q23)),ISNUMBER(SEARCH("YouTube",Q23)),ISNUMBER(SEARCH("Instagram",Q23)),ISNUMBER(SEARCH("Google",Q23)),ISNUMBER(SEARCH("store",Q23)),ISNUMBER(SEARCH("two sizes",Q23))),"off_app","in_app"))</f>
        <v/>
      </c>
      <c r="AH23">
        <f>IF(N23="","",IF(ISNUMBER(SEARCH("coupon",N23))+ISNUMBER(SEARCH("sale",N23))+ISNUMBER(SEARCH("kept-vs-returned",N23))+ISNUMBER(SEARCH("sentence",N23))+ISNUMBER(SEARCH("stays with",N23))+ISNUMBER(SEARCH("side-by-side",N23)),IF(ISNUMBER(SEARCH("kept-vs-returned",N23))+ISNUMBER(SEARCH("sentence",N23))+ISNUMBER(SEARCH("stays with",N23))+ISNUMBER(SEARCH("side-by-side",N23)),"legal_present",IF(ISNUMBER(SEARCH("coupon",N23))+ISNUMBER(SEARCH("sale",N23)),"coupon_only","other")),"other"))</f>
        <v/>
      </c>
    </row>
    <row r="24" ht="18" customHeight="1">
      <c r="A24" t="inlineStr">
        <is>
          <t>8/13/2026 13:49:46</t>
        </is>
      </c>
      <c r="B24" t="inlineStr">
        <is>
          <t>Yes, continue</t>
        </is>
      </c>
      <c r="C24" t="inlineStr">
        <is>
          <t>Yes</t>
        </is>
      </c>
      <c r="D24" t="inlineStr">
        <is>
          <t>Woman</t>
        </is>
      </c>
      <c r="E24" t="inlineStr">
        <is>
          <t>41+</t>
        </is>
      </c>
      <c r="F24" t="inlineStr">
        <is>
          <t>Coimbatore</t>
        </is>
      </c>
      <c r="G24" t="inlineStr">
        <is>
          <t>41–80</t>
        </is>
      </c>
      <c r="H24" t="inlineStr">
        <is>
          <t>Yes</t>
        </is>
      </c>
      <c r="I24" t="inlineStr">
        <is>
          <t>A few times a month</t>
        </is>
      </c>
      <c r="J24" t="inlineStr">
        <is>
          <t>I meant to buy it soon</t>
        </is>
      </c>
      <c r="K24" t="inlineStr">
        <is>
          <t>Maybe</t>
        </is>
      </c>
      <c r="L24" t="inlineStr">
        <is>
          <t>I’m not sure the fabric / quality matches the photo</t>
        </is>
      </c>
      <c r="M24" t="inlineStr">
        <is>
          <t>Quality vs photo</t>
        </is>
      </c>
      <c r="N24" t="inlineStr">
        <is>
          <t>A kept-vs-returned story from people my size and height, on the wishlist card, A suggested size that stays with the saved item (not only on the product page)</t>
        </is>
      </c>
      <c r="O24" t="inlineStr">
        <is>
          <t>How this sat on someone near my height, Return policy in words, not an icon</t>
        </is>
      </c>
      <c r="P24" t="inlineStr">
        <is>
          <t>No</t>
        </is>
      </c>
      <c r="Q24" t="inlineStr">
        <is>
          <t>WhatsApp / send photos to friends or family, YouTube haul / try-on</t>
        </is>
      </c>
      <c r="R24" t="inlineStr">
        <is>
          <t>Only buy brands I have kept before, Read 50+ reviews on the product page, Ask a friend their size in that brand, Don’t buy — leave it wishlisted</t>
        </is>
      </c>
      <c r="S24" t="inlineStr">
        <is>
          <t>Yes</t>
        </is>
      </c>
      <c r="T24" t="inlineStr">
        <is>
          <t>3</t>
        </is>
      </c>
      <c r="U24" t="inlineStr">
        <is>
          <t>3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A mix</t>
        </is>
      </c>
      <c r="Z24" t="inlineStr">
        <is>
          <t>Under 5'2"</t>
        </is>
      </c>
      <c r="AA24" t="inlineStr">
        <is>
          <t>XS</t>
        </is>
      </c>
      <c r="AB24" t="inlineStr">
        <is>
          <t>No — ethnic runs different</t>
        </is>
      </c>
      <c r="AC24" t="inlineStr">
        <is>
          <t>Mostly workwear</t>
        </is>
      </c>
      <c r="AD24" t="inlineStr">
        <is>
          <t>Looks cheap vs photo. I want a haul, not another model shot.</t>
        </is>
      </c>
      <c r="AE24">
        <f>IF(C24="","",IF(AND(D24="Woman",E24="24–32",OR(F24="Bengaluru",F24="Hyderabad",F24="Delhi",F24="Gurugram",F24="Noida",F24="Coimbatore"),OR(G24="15–40",G24="41–80",G24="81+"),H24="Yes",OR(I24="Most days",I24="About weekly")),"YES","NO"))</f>
        <v/>
      </c>
      <c r="AF24">
        <f>IF(L24="","",IF(ISNUMBER(SEARCH("fit",L24)),"fit",IF(ISNUMBER(SEARCH("return",L24))+ISNUMBER(SEARCH("seal",L24)),"return",IF(ISNUMBER(SEARCH("chart",L24)),"chart",IF(ISNUMBER(SEARCH("choose",L24)),"compare",IF(ISNUMBER(SEARCH("sale",L24)),"sale",IF(ISNUMBER(SEARCH("never",L24)),"bookmark",IF(ISNUMBER(SEARCH("mess",L24)),"clutter",IF(ISNUMBER(SEARCH("wear it",L24)),"occasion",IF(ISNUMBER(SEARCH("quality",L24)),"quality","other"))))))))))</f>
        <v/>
      </c>
      <c r="AG24">
        <f>IF(Q24="","",IF(OR(ISNUMBER(SEARCH("WhatsApp",Q24)),ISNUMBER(SEARCH("YouTube",Q24)),ISNUMBER(SEARCH("Instagram",Q24)),ISNUMBER(SEARCH("Google",Q24)),ISNUMBER(SEARCH("store",Q24)),ISNUMBER(SEARCH("two sizes",Q24))),"off_app","in_app"))</f>
        <v/>
      </c>
      <c r="AH24">
        <f>IF(N24="","",IF(ISNUMBER(SEARCH("coupon",N24))+ISNUMBER(SEARCH("sale",N24))+ISNUMBER(SEARCH("kept-vs-returned",N24))+ISNUMBER(SEARCH("sentence",N24))+ISNUMBER(SEARCH("stays with",N24))+ISNUMBER(SEARCH("side-by-side",N24)),IF(ISNUMBER(SEARCH("kept-vs-returned",N24))+ISNUMBER(SEARCH("sentence",N24))+ISNUMBER(SEARCH("stays with",N24))+ISNUMBER(SEARCH("side-by-side",N24)),"legal_present",IF(ISNUMBER(SEARCH("coupon",N24))+ISNUMBER(SEARCH("sale",N24)),"coupon_only","other")),"other"))</f>
        <v/>
      </c>
    </row>
    <row r="25" ht="18" customHeight="1">
      <c r="A25" t="inlineStr">
        <is>
          <t>8/13/2026 18:28:37</t>
        </is>
      </c>
      <c r="B25" t="inlineStr">
        <is>
          <t>Yes, continue</t>
        </is>
      </c>
      <c r="C25" t="inlineStr">
        <is>
          <t>Yes</t>
        </is>
      </c>
      <c r="D25" t="inlineStr">
        <is>
          <t>Woman</t>
        </is>
      </c>
      <c r="E25" t="inlineStr">
        <is>
          <t>24–32</t>
        </is>
      </c>
      <c r="F25" t="inlineStr">
        <is>
          <t>Noida</t>
        </is>
      </c>
      <c r="G25" t="inlineStr">
        <is>
          <t>15–40</t>
        </is>
      </c>
      <c r="H25" t="inlineStr">
        <is>
          <t>Yes</t>
        </is>
      </c>
      <c r="I25" t="inlineStr">
        <is>
          <t>Most days</t>
        </is>
      </c>
      <c r="J25" t="inlineStr">
        <is>
          <t>I meant to buy it soon</t>
        </is>
      </c>
      <c r="K25" t="inlineStr">
        <is>
          <t>Yes</t>
        </is>
      </c>
      <c r="L25" t="inlineStr">
        <is>
          <t>I don’t know if it will fit me / this brand’s cut</t>
        </is>
      </c>
      <c r="M25" t="inlineStr">
        <is>
          <t>Fit on my body / height, Which size to pick</t>
        </is>
      </c>
      <c r="N25" t="inlineStr">
        <is>
          <t>A kept-vs-returned story from people my size and height, on the wishlist card, A suggested size that stays with the saved item (not only on the product page)</t>
        </is>
      </c>
      <c r="O25" t="inlineStr">
        <is>
          <t>How this sat on someone near my height, Whether people who wear my usual size kept it, Length / crop / rise for my height, Ethnic size vs my top size, labelled separately</t>
        </is>
      </c>
      <c r="P25" t="inlineStr">
        <is>
          <t>No</t>
        </is>
      </c>
      <c r="Q25" t="inlineStr">
        <is>
          <t>WhatsApp / send photos to friends or family, YouTube haul / try-on, Instagram</t>
        </is>
      </c>
      <c r="R25" t="inlineStr">
        <is>
          <t>Only buy brands I have kept before, Read 50+ reviews on the product page, Ask a friend their size in that brand</t>
        </is>
      </c>
      <c r="S25" t="inlineStr">
        <is>
          <t>Yes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2</t>
        </is>
      </c>
      <c r="X25" t="inlineStr">
        <is>
          <t>4</t>
        </is>
      </c>
      <c r="Y25" t="inlineStr">
        <is>
          <t>A shopping list I intend to buy from</t>
        </is>
      </c>
      <c r="Z25" t="inlineStr">
        <is>
          <t>Above 5'8"</t>
        </is>
      </c>
      <c r="AA25" t="inlineStr">
        <is>
          <t>XS</t>
        </is>
      </c>
      <c r="AB25" t="inlineStr">
        <is>
          <t>No — ethnic runs different</t>
        </is>
      </c>
      <c r="AC25" t="inlineStr">
        <is>
          <t>Mostly occasion / ethnic</t>
        </is>
      </c>
      <c r="AD25" t="inlineStr">
        <is>
          <t>I know my Roadster size. I do not know this cut. That’s why it’s still saved.</t>
        </is>
      </c>
      <c r="AE25">
        <f>IF(C25="","",IF(AND(D25="Woman",E25="24–32",OR(F25="Bengaluru",F25="Hyderabad",F25="Delhi",F25="Gurugram",F25="Noida",F25="Coimbatore"),OR(G25="15–40",G25="41–80",G25="81+"),H25="Yes",OR(I25="Most days",I25="About weekly")),"YES","NO"))</f>
        <v/>
      </c>
      <c r="AF25">
        <f>IF(L25="","",IF(ISNUMBER(SEARCH("fit",L25)),"fit",IF(ISNUMBER(SEARCH("return",L25))+ISNUMBER(SEARCH("seal",L25)),"return",IF(ISNUMBER(SEARCH("chart",L25)),"chart",IF(ISNUMBER(SEARCH("choose",L25)),"compare",IF(ISNUMBER(SEARCH("sale",L25)),"sale",IF(ISNUMBER(SEARCH("never",L25)),"bookmark",IF(ISNUMBER(SEARCH("mess",L25)),"clutter",IF(ISNUMBER(SEARCH("wear it",L25)),"occasion",IF(ISNUMBER(SEARCH("quality",L25)),"quality","other"))))))))))</f>
        <v/>
      </c>
      <c r="AG25">
        <f>IF(Q25="","",IF(OR(ISNUMBER(SEARCH("WhatsApp",Q25)),ISNUMBER(SEARCH("YouTube",Q25)),ISNUMBER(SEARCH("Instagram",Q25)),ISNUMBER(SEARCH("Google",Q25)),ISNUMBER(SEARCH("store",Q25)),ISNUMBER(SEARCH("two sizes",Q25))),"off_app","in_app"))</f>
        <v/>
      </c>
      <c r="AH25">
        <f>IF(N25="","",IF(ISNUMBER(SEARCH("coupon",N25))+ISNUMBER(SEARCH("sale",N25))+ISNUMBER(SEARCH("kept-vs-returned",N25))+ISNUMBER(SEARCH("sentence",N25))+ISNUMBER(SEARCH("stays with",N25))+ISNUMBER(SEARCH("side-by-side",N25)),IF(ISNUMBER(SEARCH("kept-vs-returned",N25))+ISNUMBER(SEARCH("sentence",N25))+ISNUMBER(SEARCH("stays with",N25))+ISNUMBER(SEARCH("side-by-side",N25)),"legal_present",IF(ISNUMBER(SEARCH("coupon",N25))+ISNUMBER(SEARCH("sale",N25)),"coupon_only","other")),"other"))</f>
        <v/>
      </c>
    </row>
    <row r="26" ht="18" customHeight="1">
      <c r="A26" t="inlineStr">
        <is>
          <t>8/14/2026 10:14:07</t>
        </is>
      </c>
      <c r="B26" t="inlineStr">
        <is>
          <t>Yes, continue</t>
        </is>
      </c>
      <c r="C26" t="inlineStr">
        <is>
          <t>Yes</t>
        </is>
      </c>
      <c r="D26" t="inlineStr">
        <is>
          <t>Woman</t>
        </is>
      </c>
      <c r="E26" t="inlineStr">
        <is>
          <t>24–32</t>
        </is>
      </c>
      <c r="F26" t="inlineStr">
        <is>
          <t>Bengaluru</t>
        </is>
      </c>
      <c r="G26" t="inlineStr">
        <is>
          <t>15–40</t>
        </is>
      </c>
      <c r="H26" t="inlineStr">
        <is>
          <t>Yes</t>
        </is>
      </c>
      <c r="I26" t="inlineStr">
        <is>
          <t>About weekly</t>
        </is>
      </c>
      <c r="J26" t="inlineStr">
        <is>
          <t>Waiting for a sale or price drop</t>
        </is>
      </c>
      <c r="K26" t="inlineStr">
        <is>
          <t>Yes</t>
        </is>
      </c>
      <c r="L26" t="inlineStr">
        <is>
          <t>I’m waiting for a sale or discount</t>
        </is>
      </c>
      <c r="M26" t="inlineStr">
        <is>
          <t>Price, Whether I can return or exchange it</t>
        </is>
      </c>
      <c r="N26" t="inlineStr">
        <is>
          <t>A coupon or sale, Return / seal-tag / exchange-only written as a sentence on the card, A kept-vs-returned story from people my size and height, on the wishlist card</t>
        </is>
      </c>
      <c r="O26" t="inlineStr">
        <is>
          <t>How this sat on someone near my height, Return policy in words, not an icon</t>
        </is>
      </c>
      <c r="P26" t="inlineStr">
        <is>
          <t>No</t>
        </is>
      </c>
      <c r="Q26" t="inlineStr">
        <is>
          <t>WhatsApp / send photos to friends or family, YouTube haul / try-on, Instagram</t>
        </is>
      </c>
      <c r="R26" t="inlineStr">
        <is>
          <t>Only buy brands I have kept before, Read 50+ reviews on the product page, Ask a friend their size in that brand, Wait for a sale so a failed return hurts less, Don’t buy — leave it wishlisted</t>
        </is>
      </c>
      <c r="S26" t="inlineStr">
        <is>
          <t>No</t>
        </is>
      </c>
      <c r="T26" t="inlineStr">
        <is>
          <t>3</t>
        </is>
      </c>
      <c r="U26" t="inlineStr">
        <is>
          <t>4</t>
        </is>
      </c>
      <c r="V26" t="inlineStr">
        <is>
          <t>5</t>
        </is>
      </c>
      <c r="W26" t="inlineStr">
        <is>
          <t>2</t>
        </is>
      </c>
      <c r="X26" t="inlineStr">
        <is>
          <t>2</t>
        </is>
      </c>
      <c r="Y26" t="inlineStr">
        <is>
          <t>A shopping list I intend to buy from</t>
        </is>
      </c>
      <c r="Z26" t="inlineStr">
        <is>
          <t>5'2"–5'5"</t>
        </is>
      </c>
      <c r="AA26" t="inlineStr">
        <is>
          <t>L</t>
        </is>
      </c>
      <c r="AB26" t="inlineStr">
        <is>
          <t>No — ethnic runs different</t>
        </is>
      </c>
      <c r="AC26" t="inlineStr">
        <is>
          <t>Mix of workwear and occasion</t>
        </is>
      </c>
      <c r="AD26" t="inlineStr">
        <is>
          <t>I’ll pay full price if I’m sure. Sale is how I cope with risk, not greed.</t>
        </is>
      </c>
      <c r="AE26">
        <f>IF(C26="","",IF(AND(D26="Woman",E26="24–32",OR(F26="Bengaluru",F26="Hyderabad",F26="Delhi",F26="Gurugram",F26="Noida",F26="Coimbatore"),OR(G26="15–40",G26="41–80",G26="81+"),H26="Yes",OR(I26="Most days",I26="About weekly")),"YES","NO"))</f>
        <v/>
      </c>
      <c r="AF26">
        <f>IF(L26="","",IF(ISNUMBER(SEARCH("fit",L26)),"fit",IF(ISNUMBER(SEARCH("return",L26))+ISNUMBER(SEARCH("seal",L26)),"return",IF(ISNUMBER(SEARCH("chart",L26)),"chart",IF(ISNUMBER(SEARCH("choose",L26)),"compare",IF(ISNUMBER(SEARCH("sale",L26)),"sale",IF(ISNUMBER(SEARCH("never",L26)),"bookmark",IF(ISNUMBER(SEARCH("mess",L26)),"clutter",IF(ISNUMBER(SEARCH("wear it",L26)),"occasion",IF(ISNUMBER(SEARCH("quality",L26)),"quality","other"))))))))))</f>
        <v/>
      </c>
      <c r="AG26">
        <f>IF(Q26="","",IF(OR(ISNUMBER(SEARCH("WhatsApp",Q26)),ISNUMBER(SEARCH("YouTube",Q26)),ISNUMBER(SEARCH("Instagram",Q26)),ISNUMBER(SEARCH("Google",Q26)),ISNUMBER(SEARCH("store",Q26)),ISNUMBER(SEARCH("two sizes",Q26))),"off_app","in_app"))</f>
        <v/>
      </c>
      <c r="AH26">
        <f>IF(N26="","",IF(ISNUMBER(SEARCH("coupon",N26))+ISNUMBER(SEARCH("sale",N26))+ISNUMBER(SEARCH("kept-vs-returned",N26))+ISNUMBER(SEARCH("sentence",N26))+ISNUMBER(SEARCH("stays with",N26))+ISNUMBER(SEARCH("side-by-side",N26)),IF(ISNUMBER(SEARCH("kept-vs-returned",N26))+ISNUMBER(SEARCH("sentence",N26))+ISNUMBER(SEARCH("stays with",N26))+ISNUMBER(SEARCH("side-by-side",N26)),"legal_present",IF(ISNUMBER(SEARCH("coupon",N26))+ISNUMBER(SEARCH("sale",N26)),"coupon_only","other")),"other"))</f>
        <v/>
      </c>
    </row>
    <row r="27" ht="18" customHeight="1">
      <c r="A27" t="inlineStr">
        <is>
          <t>8/14/2026 10:58:50</t>
        </is>
      </c>
      <c r="B27" t="inlineStr">
        <is>
          <t>Yes, continue</t>
        </is>
      </c>
      <c r="C27" t="inlineStr">
        <is>
          <t>Yes</t>
        </is>
      </c>
      <c r="D27" t="inlineStr">
        <is>
          <t>Woman</t>
        </is>
      </c>
      <c r="E27" t="inlineStr">
        <is>
          <t>24–32</t>
        </is>
      </c>
      <c r="F27" t="inlineStr">
        <is>
          <t>Coimbatore</t>
        </is>
      </c>
      <c r="G27" t="inlineStr">
        <is>
          <t>41–80</t>
        </is>
      </c>
      <c r="H27" t="inlineStr">
        <is>
          <t>Yes</t>
        </is>
      </c>
      <c r="I27" t="inlineStr">
        <is>
          <t>About weekly</t>
        </is>
      </c>
      <c r="J27" t="inlineStr">
        <is>
          <t>I meant to buy it soon</t>
        </is>
      </c>
      <c r="K27" t="inlineStr">
        <is>
          <t>Yes</t>
        </is>
      </c>
      <c r="L27" t="inlineStr">
        <is>
          <t>I don’t know if it will fit me / this brand’s cut</t>
        </is>
      </c>
      <c r="M27" t="inlineStr">
        <is>
          <t>Fit on my body / height, Which size to pick</t>
        </is>
      </c>
      <c r="N27" t="inlineStr">
        <is>
          <t>A kept-vs-returned story from people my size and height, on the wishlist card, A suggested size that stays with the saved item (not only on the product page), Return / seal-tag / exchange-only written as a sentence on the card</t>
        </is>
      </c>
      <c r="O27" t="inlineStr">
        <is>
          <t>How this sat on someone near my height, Whether people who wear my usual size kept it, Length / crop / rise for my height, Ethnic size vs my top size, labelled separately</t>
        </is>
      </c>
      <c r="P27" t="inlineStr">
        <is>
          <t>Yes — I will buy one of them</t>
        </is>
      </c>
      <c r="Q27" t="inlineStr">
        <is>
          <t>WhatsApp / send photos to friends or family, YouTube haul / try-on, Visit a store to touch fabric or try a similar cut</t>
        </is>
      </c>
      <c r="R27" t="inlineStr">
        <is>
          <t>Only buy brands I have kept before, Read 50+ reviews on the product page, Don’t buy — leave it wishlisted</t>
        </is>
      </c>
      <c r="S27" t="inlineStr">
        <is>
          <t>Yes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A shopping list I intend to buy from</t>
        </is>
      </c>
      <c r="Z27" t="inlineStr">
        <is>
          <t>5'5"–5'8"</t>
        </is>
      </c>
      <c r="AA27" t="inlineStr">
        <is>
          <t>S</t>
        </is>
      </c>
      <c r="AB27" t="inlineStr">
        <is>
          <t>No — ethnic runs different</t>
        </is>
      </c>
      <c r="AC27" t="inlineStr">
        <is>
          <t>Mostly workwear</t>
        </is>
      </c>
      <c r="AD27" t="inlineStr"/>
      <c r="AE27">
        <f>IF(C27="","",IF(AND(D27="Woman",E27="24–32",OR(F27="Bengaluru",F27="Hyderabad",F27="Delhi",F27="Gurugram",F27="Noida",F27="Coimbatore"),OR(G27="15–40",G27="41–80",G27="81+"),H27="Yes",OR(I27="Most days",I27="About weekly")),"YES","NO"))</f>
        <v/>
      </c>
      <c r="AF27">
        <f>IF(L27="","",IF(ISNUMBER(SEARCH("fit",L27)),"fit",IF(ISNUMBER(SEARCH("return",L27))+ISNUMBER(SEARCH("seal",L27)),"return",IF(ISNUMBER(SEARCH("chart",L27)),"chart",IF(ISNUMBER(SEARCH("choose",L27)),"compare",IF(ISNUMBER(SEARCH("sale",L27)),"sale",IF(ISNUMBER(SEARCH("never",L27)),"bookmark",IF(ISNUMBER(SEARCH("mess",L27)),"clutter",IF(ISNUMBER(SEARCH("wear it",L27)),"occasion",IF(ISNUMBER(SEARCH("quality",L27)),"quality","other"))))))))))</f>
        <v/>
      </c>
      <c r="AG27">
        <f>IF(Q27="","",IF(OR(ISNUMBER(SEARCH("WhatsApp",Q27)),ISNUMBER(SEARCH("YouTube",Q27)),ISNUMBER(SEARCH("Instagram",Q27)),ISNUMBER(SEARCH("Google",Q27)),ISNUMBER(SEARCH("store",Q27)),ISNUMBER(SEARCH("two sizes",Q27))),"off_app","in_app"))</f>
        <v/>
      </c>
      <c r="AH27">
        <f>IF(N27="","",IF(ISNUMBER(SEARCH("coupon",N27))+ISNUMBER(SEARCH("sale",N27))+ISNUMBER(SEARCH("kept-vs-returned",N27))+ISNUMBER(SEARCH("sentence",N27))+ISNUMBER(SEARCH("stays with",N27))+ISNUMBER(SEARCH("side-by-side",N27)),IF(ISNUMBER(SEARCH("kept-vs-returned",N27))+ISNUMBER(SEARCH("sentence",N27))+ISNUMBER(SEARCH("stays with",N27))+ISNUMBER(SEARCH("side-by-side",N27)),"legal_present",IF(ISNUMBER(SEARCH("coupon",N27))+ISNUMBER(SEARCH("sale",N27)),"coupon_only","other")),"other"))</f>
        <v/>
      </c>
    </row>
    <row r="28" ht="18" customHeight="1">
      <c r="A28" t="inlineStr">
        <is>
          <t>8/14/2026 11:18:58</t>
        </is>
      </c>
      <c r="B28" t="inlineStr">
        <is>
          <t>Yes, continue</t>
        </is>
      </c>
      <c r="C28" t="inlineStr">
        <is>
          <t>Yes</t>
        </is>
      </c>
      <c r="D28" t="inlineStr">
        <is>
          <t>Woman</t>
        </is>
      </c>
      <c r="E28" t="inlineStr">
        <is>
          <t>24–32</t>
        </is>
      </c>
      <c r="F28" t="inlineStr">
        <is>
          <t>Bengaluru</t>
        </is>
      </c>
      <c r="G28" t="inlineStr">
        <is>
          <t>41–80</t>
        </is>
      </c>
      <c r="H28" t="inlineStr">
        <is>
          <t>Yes</t>
        </is>
      </c>
      <c r="I28" t="inlineStr">
        <is>
          <t>About weekly</t>
        </is>
      </c>
      <c r="J28" t="inlineStr">
        <is>
          <t>I meant to buy it soon</t>
        </is>
      </c>
      <c r="K28" t="inlineStr">
        <is>
          <t>Yes</t>
        </is>
      </c>
      <c r="L28" t="inlineStr">
        <is>
          <t>I’m worried about returns, exchange-only, or a seal tag</t>
        </is>
      </c>
      <c r="M28" t="inlineStr">
        <is>
          <t>Whether I can return or exchange it, Whether the next size exists, Fit on my body / height</t>
        </is>
      </c>
      <c r="N28" t="inlineStr">
        <is>
          <t>Return / seal-tag / exchange-only written as a sentence on the card, A kept-vs-returned story from people my size and height, on the wishlist card, A coupon or sale</t>
        </is>
      </c>
      <c r="O28" t="inlineStr">
        <is>
          <t>Return policy in words, not an icon, Whether Try and Buy exists on this SKU, How this sat on someone near my height</t>
        </is>
      </c>
      <c r="P28" t="inlineStr">
        <is>
          <t>No</t>
        </is>
      </c>
      <c r="Q28" t="inlineStr">
        <is>
          <t>WhatsApp / send photos to friends or family, YouTube haul / try-on, Instagram, I just wait and never decide</t>
        </is>
      </c>
      <c r="R28" t="inlineStr">
        <is>
          <t>Only buy brands I have kept before, Read 50+ reviews on the product page, Ask a friend their size in that brand, Order two sizes, Wait for a sale so a failed return hurts less, Don’t buy — leave it wishlisted</t>
        </is>
      </c>
      <c r="S28" t="inlineStr">
        <is>
          <t>Yes</t>
        </is>
      </c>
      <c r="T28" t="inlineStr">
        <is>
          <t>4</t>
        </is>
      </c>
      <c r="U28" t="inlineStr">
        <is>
          <t>5</t>
        </is>
      </c>
      <c r="V28" t="inlineStr">
        <is>
          <t>3</t>
        </is>
      </c>
      <c r="W28" t="inlineStr">
        <is>
          <t>2</t>
        </is>
      </c>
      <c r="X28" t="inlineStr">
        <is>
          <t>2</t>
        </is>
      </c>
      <c r="Y28" t="inlineStr">
        <is>
          <t>A shopping list I intend to buy from</t>
        </is>
      </c>
      <c r="Z28" t="inlineStr">
        <is>
          <t>Under 5'2"</t>
        </is>
      </c>
      <c r="AA28" t="inlineStr">
        <is>
          <t>M</t>
        </is>
      </c>
      <c r="AB28" t="inlineStr">
        <is>
          <t>No — ethnic runs different</t>
        </is>
      </c>
      <c r="AC28" t="inlineStr">
        <is>
          <t>Mostly workwear</t>
        </is>
      </c>
      <c r="AD28" t="inlineStr">
        <is>
          <t>Policy is an icon. Icons are how I got surprised last time.</t>
        </is>
      </c>
      <c r="AE28">
        <f>IF(C28="","",IF(AND(D28="Woman",E28="24–32",OR(F28="Bengaluru",F28="Hyderabad",F28="Delhi",F28="Gurugram",F28="Noida",F28="Coimbatore"),OR(G28="15–40",G28="41–80",G28="81+"),H28="Yes",OR(I28="Most days",I28="About weekly")),"YES","NO"))</f>
        <v/>
      </c>
      <c r="AF28">
        <f>IF(L28="","",IF(ISNUMBER(SEARCH("fit",L28)),"fit",IF(ISNUMBER(SEARCH("return",L28))+ISNUMBER(SEARCH("seal",L28)),"return",IF(ISNUMBER(SEARCH("chart",L28)),"chart",IF(ISNUMBER(SEARCH("choose",L28)),"compare",IF(ISNUMBER(SEARCH("sale",L28)),"sale",IF(ISNUMBER(SEARCH("never",L28)),"bookmark",IF(ISNUMBER(SEARCH("mess",L28)),"clutter",IF(ISNUMBER(SEARCH("wear it",L28)),"occasion",IF(ISNUMBER(SEARCH("quality",L28)),"quality","other"))))))))))</f>
        <v/>
      </c>
      <c r="AG28">
        <f>IF(Q28="","",IF(OR(ISNUMBER(SEARCH("WhatsApp",Q28)),ISNUMBER(SEARCH("YouTube",Q28)),ISNUMBER(SEARCH("Instagram",Q28)),ISNUMBER(SEARCH("Google",Q28)),ISNUMBER(SEARCH("store",Q28)),ISNUMBER(SEARCH("two sizes",Q28))),"off_app","in_app"))</f>
        <v/>
      </c>
      <c r="AH28">
        <f>IF(N28="","",IF(ISNUMBER(SEARCH("coupon",N28))+ISNUMBER(SEARCH("sale",N28))+ISNUMBER(SEARCH("kept-vs-returned",N28))+ISNUMBER(SEARCH("sentence",N28))+ISNUMBER(SEARCH("stays with",N28))+ISNUMBER(SEARCH("side-by-side",N28)),IF(ISNUMBER(SEARCH("kept-vs-returned",N28))+ISNUMBER(SEARCH("sentence",N28))+ISNUMBER(SEARCH("stays with",N28))+ISNUMBER(SEARCH("side-by-side",N28)),"legal_present",IF(ISNUMBER(SEARCH("coupon",N28))+ISNUMBER(SEARCH("sale",N28)),"coupon_only","other")),"other"))</f>
        <v/>
      </c>
    </row>
    <row r="29" ht="18" customHeight="1">
      <c r="A29" t="inlineStr">
        <is>
          <t>8/14/2026 12:41:52</t>
        </is>
      </c>
      <c r="B29" t="inlineStr">
        <is>
          <t>Yes, continue</t>
        </is>
      </c>
      <c r="C29" t="inlineStr">
        <is>
          <t>Yes</t>
        </is>
      </c>
      <c r="D29" t="inlineStr">
        <is>
          <t>Woman</t>
        </is>
      </c>
      <c r="E29" t="inlineStr">
        <is>
          <t>24–32</t>
        </is>
      </c>
      <c r="F29" t="inlineStr">
        <is>
          <t>Noida</t>
        </is>
      </c>
      <c r="G29" t="inlineStr">
        <is>
          <t>15–40</t>
        </is>
      </c>
      <c r="H29" t="inlineStr">
        <is>
          <t>Yes</t>
        </is>
      </c>
      <c r="I29" t="inlineStr">
        <is>
          <t>Most days</t>
        </is>
      </c>
      <c r="J29" t="inlineStr">
        <is>
          <t>To compare with other pieces I saved</t>
        </is>
      </c>
      <c r="K29" t="inlineStr">
        <is>
          <t>Maybe</t>
        </is>
      </c>
      <c r="L29" t="inlineStr">
        <is>
          <t>I can’t choose between a few similar things I saved</t>
        </is>
      </c>
      <c r="M29" t="inlineStr">
        <is>
          <t>Fit on my body / height, Occasion / office-appropriateness</t>
        </is>
      </c>
      <c r="N29" t="inlineStr">
        <is>
          <t>A side-by-side of the other pieces I saved, on fit — not on discount %, A kept-vs-returned story from people my size and height, on the wishlist card, A suggested size that stays with the saved item (not only on the product page)</t>
        </is>
      </c>
      <c r="O29" t="inlineStr">
        <is>
          <t>How this sat on someone near my height, Return policy in words, not an icon</t>
        </is>
      </c>
      <c r="P29" t="inlineStr">
        <is>
          <t>Yes — I will buy one of them</t>
        </is>
      </c>
      <c r="Q29" t="inlineStr">
        <is>
          <t>WhatsApp / send photos to friends or family, YouTube haul / try-on, Instagram</t>
        </is>
      </c>
      <c r="R29" t="inlineStr">
        <is>
          <t>Only buy brands I have kept before, Read 50+ reviews on the product page, Ask a friend their size in that brand</t>
        </is>
      </c>
      <c r="S29" t="inlineStr">
        <is>
          <t>Yes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A mix</t>
        </is>
      </c>
      <c r="Z29" t="inlineStr">
        <is>
          <t>5'2"–5'5"</t>
        </is>
      </c>
      <c r="AA29" t="inlineStr">
        <is>
          <t>M</t>
        </is>
      </c>
      <c r="AB29" t="inlineStr">
        <is>
          <t>No — ethnic runs different</t>
        </is>
      </c>
      <c r="AC29" t="inlineStr">
        <is>
          <t>Mostly occasion / ethnic</t>
        </is>
      </c>
      <c r="AD29" t="inlineStr">
        <is>
          <t>Three office shirts saved. I will buy one. I cannot pick.</t>
        </is>
      </c>
      <c r="AE29">
        <f>IF(C29="","",IF(AND(D29="Woman",E29="24–32",OR(F29="Bengaluru",F29="Hyderabad",F29="Delhi",F29="Gurugram",F29="Noida",F29="Coimbatore"),OR(G29="15–40",G29="41–80",G29="81+"),H29="Yes",OR(I29="Most days",I29="About weekly")),"YES","NO"))</f>
        <v/>
      </c>
      <c r="AF29">
        <f>IF(L29="","",IF(ISNUMBER(SEARCH("fit",L29)),"fit",IF(ISNUMBER(SEARCH("return",L29))+ISNUMBER(SEARCH("seal",L29)),"return",IF(ISNUMBER(SEARCH("chart",L29)),"chart",IF(ISNUMBER(SEARCH("choose",L29)),"compare",IF(ISNUMBER(SEARCH("sale",L29)),"sale",IF(ISNUMBER(SEARCH("never",L29)),"bookmark",IF(ISNUMBER(SEARCH("mess",L29)),"clutter",IF(ISNUMBER(SEARCH("wear it",L29)),"occasion",IF(ISNUMBER(SEARCH("quality",L29)),"quality","other"))))))))))</f>
        <v/>
      </c>
      <c r="AG29">
        <f>IF(Q29="","",IF(OR(ISNUMBER(SEARCH("WhatsApp",Q29)),ISNUMBER(SEARCH("YouTube",Q29)),ISNUMBER(SEARCH("Instagram",Q29)),ISNUMBER(SEARCH("Google",Q29)),ISNUMBER(SEARCH("store",Q29)),ISNUMBER(SEARCH("two sizes",Q29))),"off_app","in_app"))</f>
        <v/>
      </c>
      <c r="AH29">
        <f>IF(N29="","",IF(ISNUMBER(SEARCH("coupon",N29))+ISNUMBER(SEARCH("sale",N29))+ISNUMBER(SEARCH("kept-vs-returned",N29))+ISNUMBER(SEARCH("sentence",N29))+ISNUMBER(SEARCH("stays with",N29))+ISNUMBER(SEARCH("side-by-side",N29)),IF(ISNUMBER(SEARCH("kept-vs-returned",N29))+ISNUMBER(SEARCH("sentence",N29))+ISNUMBER(SEARCH("stays with",N29))+ISNUMBER(SEARCH("side-by-side",N29)),"legal_present",IF(ISNUMBER(SEARCH("coupon",N29))+ISNUMBER(SEARCH("sale",N29)),"coupon_only","other")),"other"))</f>
        <v/>
      </c>
    </row>
    <row r="30" ht="18" customHeight="1">
      <c r="A30" t="inlineStr">
        <is>
          <t>8/14/2026 23:15:25</t>
        </is>
      </c>
      <c r="B30" t="inlineStr">
        <is>
          <t>Yes, continue</t>
        </is>
      </c>
      <c r="C30" t="inlineStr">
        <is>
          <t>Yes</t>
        </is>
      </c>
      <c r="D30" t="inlineStr">
        <is>
          <t>Woman</t>
        </is>
      </c>
      <c r="E30" t="inlineStr">
        <is>
          <t>24–32</t>
        </is>
      </c>
      <c r="F30" t="inlineStr">
        <is>
          <t>Coimbatore</t>
        </is>
      </c>
      <c r="G30" t="inlineStr">
        <is>
          <t>15–40</t>
        </is>
      </c>
      <c r="H30" t="inlineStr">
        <is>
          <t>Yes</t>
        </is>
      </c>
      <c r="I30" t="inlineStr">
        <is>
          <t>About weekly</t>
        </is>
      </c>
      <c r="J30" t="inlineStr">
        <is>
          <t>I meant to buy it soon</t>
        </is>
      </c>
      <c r="K30" t="inlineStr">
        <is>
          <t>Yes</t>
        </is>
      </c>
      <c r="L30" t="inlineStr">
        <is>
          <t>I’m worried about returns, exchange-only, or a seal tag</t>
        </is>
      </c>
      <c r="M30" t="inlineStr">
        <is>
          <t>Whether I can return or exchange it, Whether the next size exists, Fit on my body / height</t>
        </is>
      </c>
      <c r="N30" t="inlineStr">
        <is>
          <t>Return / seal-tag / exchange-only written as a sentence on the card, A kept-vs-returned story from people my size and height, on the wishlist card</t>
        </is>
      </c>
      <c r="O30" t="inlineStr">
        <is>
          <t>Return policy in words, not an icon, Whether Try and Buy exists on this SKU, How this sat on someone near my height</t>
        </is>
      </c>
      <c r="P30" t="inlineStr">
        <is>
          <t>Yes — but I may buy none</t>
        </is>
      </c>
      <c r="Q30" t="inlineStr">
        <is>
          <t>WhatsApp / send photos to friends or family, YouTube haul / try-on, Visit a store to touch fabric or try a similar cut, I just wait and never decide</t>
        </is>
      </c>
      <c r="R30" t="inlineStr">
        <is>
          <t>Only buy brands I have kept before, Read 50+ reviews on the product page, Ask a friend their size in that brand, Wait for a sale so a failed return hurts less</t>
        </is>
      </c>
      <c r="S30" t="inlineStr">
        <is>
          <t>Not sure</t>
        </is>
      </c>
      <c r="T30" t="inlineStr">
        <is>
          <t>4</t>
        </is>
      </c>
      <c r="U30" t="inlineStr">
        <is>
          <t>5</t>
        </is>
      </c>
      <c r="V30" t="inlineStr">
        <is>
          <t>3</t>
        </is>
      </c>
      <c r="W30" t="inlineStr">
        <is>
          <t>2</t>
        </is>
      </c>
      <c r="X30" t="inlineStr">
        <is>
          <t>4</t>
        </is>
      </c>
      <c r="Y30" t="inlineStr">
        <is>
          <t>A shopping list I intend to buy from</t>
        </is>
      </c>
      <c r="Z30" t="inlineStr">
        <is>
          <t>Above 5'8"</t>
        </is>
      </c>
      <c r="AA30" t="inlineStr">
        <is>
          <t>L</t>
        </is>
      </c>
      <c r="AB30" t="inlineStr">
        <is>
          <t>I don’t buy ethnic on Myntra</t>
        </is>
      </c>
      <c r="AC30" t="inlineStr">
        <is>
          <t>Mix of workwear and occasion</t>
        </is>
      </c>
      <c r="AD30" t="inlineStr">
        <is>
          <t>I have the money. I don’t have another Sunday for a reverse pickup.</t>
        </is>
      </c>
      <c r="AE30">
        <f>IF(C30="","",IF(AND(D30="Woman",E30="24–32",OR(F30="Bengaluru",F30="Hyderabad",F30="Delhi",F30="Gurugram",F30="Noida",F30="Coimbatore"),OR(G30="15–40",G30="41–80",G30="81+"),H30="Yes",OR(I30="Most days",I30="About weekly")),"YES","NO"))</f>
        <v/>
      </c>
      <c r="AF30">
        <f>IF(L30="","",IF(ISNUMBER(SEARCH("fit",L30)),"fit",IF(ISNUMBER(SEARCH("return",L30))+ISNUMBER(SEARCH("seal",L30)),"return",IF(ISNUMBER(SEARCH("chart",L30)),"chart",IF(ISNUMBER(SEARCH("choose",L30)),"compare",IF(ISNUMBER(SEARCH("sale",L30)),"sale",IF(ISNUMBER(SEARCH("never",L30)),"bookmark",IF(ISNUMBER(SEARCH("mess",L30)),"clutter",IF(ISNUMBER(SEARCH("wear it",L30)),"occasion",IF(ISNUMBER(SEARCH("quality",L30)),"quality","other"))))))))))</f>
        <v/>
      </c>
      <c r="AG30">
        <f>IF(Q30="","",IF(OR(ISNUMBER(SEARCH("WhatsApp",Q30)),ISNUMBER(SEARCH("YouTube",Q30)),ISNUMBER(SEARCH("Instagram",Q30)),ISNUMBER(SEARCH("Google",Q30)),ISNUMBER(SEARCH("store",Q30)),ISNUMBER(SEARCH("two sizes",Q30))),"off_app","in_app"))</f>
        <v/>
      </c>
      <c r="AH30">
        <f>IF(N30="","",IF(ISNUMBER(SEARCH("coupon",N30))+ISNUMBER(SEARCH("sale",N30))+ISNUMBER(SEARCH("kept-vs-returned",N30))+ISNUMBER(SEARCH("sentence",N30))+ISNUMBER(SEARCH("stays with",N30))+ISNUMBER(SEARCH("side-by-side",N30)),IF(ISNUMBER(SEARCH("kept-vs-returned",N30))+ISNUMBER(SEARCH("sentence",N30))+ISNUMBER(SEARCH("stays with",N30))+ISNUMBER(SEARCH("side-by-side",N30)),"legal_present",IF(ISNUMBER(SEARCH("coupon",N30))+ISNUMBER(SEARCH("sale",N30)),"coupon_only","other")),"other"))</f>
        <v/>
      </c>
    </row>
    <row r="31" ht="18" customHeight="1">
      <c r="A31" t="inlineStr">
        <is>
          <t>8/15/2026 0:25:39</t>
        </is>
      </c>
      <c r="B31" t="inlineStr">
        <is>
          <t>Yes, continue</t>
        </is>
      </c>
      <c r="C31" t="inlineStr">
        <is>
          <t>Yes</t>
        </is>
      </c>
      <c r="D31" t="inlineStr">
        <is>
          <t>Woman</t>
        </is>
      </c>
      <c r="E31" t="inlineStr">
        <is>
          <t>24–32</t>
        </is>
      </c>
      <c r="F31" t="inlineStr">
        <is>
          <t>Bengaluru</t>
        </is>
      </c>
      <c r="G31" t="inlineStr">
        <is>
          <t>15–40</t>
        </is>
      </c>
      <c r="H31" t="inlineStr">
        <is>
          <t>Yes</t>
        </is>
      </c>
      <c r="I31" t="inlineStr">
        <is>
          <t>Most days</t>
        </is>
      </c>
      <c r="J31" t="inlineStr">
        <is>
          <t>I meant to buy it soon</t>
        </is>
      </c>
      <c r="K31" t="inlineStr">
        <is>
          <t>Yes</t>
        </is>
      </c>
      <c r="L31" t="inlineStr">
        <is>
          <t>I don’t know if it will fit me / this brand’s cut</t>
        </is>
      </c>
      <c r="M31" t="inlineStr">
        <is>
          <t>Fit on my body / height, Which size to pick</t>
        </is>
      </c>
      <c r="N31" t="inlineStr">
        <is>
          <t>A kept-vs-returned story from people my size and height, on the wishlist card, A suggested size that stays with the saved item (not only on the product page)</t>
        </is>
      </c>
      <c r="O31" t="inlineStr">
        <is>
          <t>How this sat on someone near my height, Whether people who wear my usual size kept it, Length / crop / rise for my height</t>
        </is>
      </c>
      <c r="P31" t="inlineStr">
        <is>
          <t>No</t>
        </is>
      </c>
      <c r="Q31" t="inlineStr">
        <is>
          <t>WhatsApp / send photos to friends or family, YouTube haul / try-on</t>
        </is>
      </c>
      <c r="R31" t="inlineStr">
        <is>
          <t>Only buy brands I have kept before, Read 50+ reviews on the product page, Ask a friend their size in that brand</t>
        </is>
      </c>
      <c r="S31" t="inlineStr">
        <is>
          <t>Yes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2</t>
        </is>
      </c>
      <c r="X31" t="inlineStr">
        <is>
          <t>4</t>
        </is>
      </c>
      <c r="Y31" t="inlineStr">
        <is>
          <t>A shopping list I intend to buy from</t>
        </is>
      </c>
      <c r="Z31" t="inlineStr">
        <is>
          <t>Under 5'2"</t>
        </is>
      </c>
      <c r="AA31" t="inlineStr">
        <is>
          <t>L</t>
        </is>
      </c>
      <c r="AB31" t="inlineStr">
        <is>
          <t>Yes, same letter</t>
        </is>
      </c>
      <c r="AC31" t="inlineStr">
        <is>
          <t>Mix of workwear and occasion</t>
        </is>
      </c>
      <c r="AD31" t="inlineStr">
        <is>
          <t>If I could see kept vs returned for my size on the card I would check out this week.</t>
        </is>
      </c>
      <c r="AE31">
        <f>IF(C31="","",IF(AND(D31="Woman",E31="24–32",OR(F31="Bengaluru",F31="Hyderabad",F31="Delhi",F31="Gurugram",F31="Noida",F31="Coimbatore"),OR(G31="15–40",G31="41–80",G31="81+"),H31="Yes",OR(I31="Most days",I31="About weekly")),"YES","NO"))</f>
        <v/>
      </c>
      <c r="AF31">
        <f>IF(L31="","",IF(ISNUMBER(SEARCH("fit",L31)),"fit",IF(ISNUMBER(SEARCH("return",L31))+ISNUMBER(SEARCH("seal",L31)),"return",IF(ISNUMBER(SEARCH("chart",L31)),"chart",IF(ISNUMBER(SEARCH("choose",L31)),"compare",IF(ISNUMBER(SEARCH("sale",L31)),"sale",IF(ISNUMBER(SEARCH("never",L31)),"bookmark",IF(ISNUMBER(SEARCH("mess",L31)),"clutter",IF(ISNUMBER(SEARCH("wear it",L31)),"occasion",IF(ISNUMBER(SEARCH("quality",L31)),"quality","other"))))))))))</f>
        <v/>
      </c>
      <c r="AG31">
        <f>IF(Q31="","",IF(OR(ISNUMBER(SEARCH("WhatsApp",Q31)),ISNUMBER(SEARCH("YouTube",Q31)),ISNUMBER(SEARCH("Instagram",Q31)),ISNUMBER(SEARCH("Google",Q31)),ISNUMBER(SEARCH("store",Q31)),ISNUMBER(SEARCH("two sizes",Q31))),"off_app","in_app"))</f>
        <v/>
      </c>
      <c r="AH31">
        <f>IF(N31="","",IF(ISNUMBER(SEARCH("coupon",N31))+ISNUMBER(SEARCH("sale",N31))+ISNUMBER(SEARCH("kept-vs-returned",N31))+ISNUMBER(SEARCH("sentence",N31))+ISNUMBER(SEARCH("stays with",N31))+ISNUMBER(SEARCH("side-by-side",N31)),IF(ISNUMBER(SEARCH("kept-vs-returned",N31))+ISNUMBER(SEARCH("sentence",N31))+ISNUMBER(SEARCH("stays with",N31))+ISNUMBER(SEARCH("side-by-side",N31)),"legal_present",IF(ISNUMBER(SEARCH("coupon",N31))+ISNUMBER(SEARCH("sale",N31)),"coupon_only","other")),"other"))</f>
        <v/>
      </c>
    </row>
    <row r="32" ht="18" customHeight="1">
      <c r="A32" t="inlineStr">
        <is>
          <t>8/15/2026 1:01:55</t>
        </is>
      </c>
      <c r="B32" t="inlineStr">
        <is>
          <t>Yes, continue</t>
        </is>
      </c>
      <c r="C32" t="inlineStr">
        <is>
          <t>Yes</t>
        </is>
      </c>
      <c r="D32" t="inlineStr">
        <is>
          <t>Woman</t>
        </is>
      </c>
      <c r="E32" t="inlineStr">
        <is>
          <t>24–32</t>
        </is>
      </c>
      <c r="F32" t="inlineStr">
        <is>
          <t>Gurugram</t>
        </is>
      </c>
      <c r="G32" t="inlineStr">
        <is>
          <t>15–40</t>
        </is>
      </c>
      <c r="H32" t="inlineStr">
        <is>
          <t>No</t>
        </is>
      </c>
      <c r="I32" t="inlineStr">
        <is>
          <t>Most days</t>
        </is>
      </c>
      <c r="J32" t="inlineStr">
        <is>
          <t>Waiting for a sale or price drop</t>
        </is>
      </c>
      <c r="K32" t="inlineStr">
        <is>
          <t>Maybe</t>
        </is>
      </c>
      <c r="L32" t="inlineStr">
        <is>
          <t>I’m waiting for a sale or discount</t>
        </is>
      </c>
      <c r="M32" t="inlineStr">
        <is>
          <t>Price, Whether I can return or exchange it</t>
        </is>
      </c>
      <c r="N32" t="inlineStr">
        <is>
          <t>A coupon or sale, A kept-vs-returned story from people my size and height, on the wishlist card, A suggested size that stays with the saved item (not only on the product page)</t>
        </is>
      </c>
      <c r="O32" t="inlineStr">
        <is>
          <t>How this sat on someone near my height, Return policy in words, not an icon</t>
        </is>
      </c>
      <c r="P32" t="inlineStr">
        <is>
          <t>Yes — but I may buy none</t>
        </is>
      </c>
      <c r="Q32" t="inlineStr">
        <is>
          <t>WhatsApp / send photos to friends or family, YouTube haul / try-on, Visit a store to touch fabric or try a similar cut</t>
        </is>
      </c>
      <c r="R32" t="inlineStr">
        <is>
          <t>Only buy brands I have kept before, Read 50+ reviews on the product page, Ask a friend their size in that brand, Wait for a sale so a failed return hurts less, Don’t buy — leave it wishlisted</t>
        </is>
      </c>
      <c r="S32" t="inlineStr">
        <is>
          <t>Not sure</t>
        </is>
      </c>
      <c r="T32" t="inlineStr">
        <is>
          <t>3</t>
        </is>
      </c>
      <c r="U32" t="inlineStr">
        <is>
          <t>4</t>
        </is>
      </c>
      <c r="V32" t="inlineStr">
        <is>
          <t>5</t>
        </is>
      </c>
      <c r="W32" t="inlineStr">
        <is>
          <t>2</t>
        </is>
      </c>
      <c r="X32" t="inlineStr">
        <is>
          <t>2</t>
        </is>
      </c>
      <c r="Y32" t="inlineStr">
        <is>
          <t>A mix</t>
        </is>
      </c>
      <c r="Z32" t="inlineStr">
        <is>
          <t>5'2"–5'5"</t>
        </is>
      </c>
      <c r="AA32" t="inlineStr">
        <is>
          <t>S</t>
        </is>
      </c>
      <c r="AB32" t="inlineStr">
        <is>
          <t>I don’t buy ethnic on Myntra</t>
        </is>
      </c>
      <c r="AC32" t="inlineStr">
        <is>
          <t>Mix of workwear and occasion</t>
        </is>
      </c>
      <c r="AD32" t="inlineStr">
        <is>
          <t>I’ll pay full price if I’m sure. Sale is how I cope with risk, not greed.</t>
        </is>
      </c>
      <c r="AE32">
        <f>IF(C32="","",IF(AND(D32="Woman",E32="24–32",OR(F32="Bengaluru",F32="Hyderabad",F32="Delhi",F32="Gurugram",F32="Noida",F32="Coimbatore"),OR(G32="15–40",G32="41–80",G32="81+"),H32="Yes",OR(I32="Most days",I32="About weekly")),"YES","NO"))</f>
        <v/>
      </c>
      <c r="AF32">
        <f>IF(L32="","",IF(ISNUMBER(SEARCH("fit",L32)),"fit",IF(ISNUMBER(SEARCH("return",L32))+ISNUMBER(SEARCH("seal",L32)),"return",IF(ISNUMBER(SEARCH("chart",L32)),"chart",IF(ISNUMBER(SEARCH("choose",L32)),"compare",IF(ISNUMBER(SEARCH("sale",L32)),"sale",IF(ISNUMBER(SEARCH("never",L32)),"bookmark",IF(ISNUMBER(SEARCH("mess",L32)),"clutter",IF(ISNUMBER(SEARCH("wear it",L32)),"occasion",IF(ISNUMBER(SEARCH("quality",L32)),"quality","other"))))))))))</f>
        <v/>
      </c>
      <c r="AG32">
        <f>IF(Q32="","",IF(OR(ISNUMBER(SEARCH("WhatsApp",Q32)),ISNUMBER(SEARCH("YouTube",Q32)),ISNUMBER(SEARCH("Instagram",Q32)),ISNUMBER(SEARCH("Google",Q32)),ISNUMBER(SEARCH("store",Q32)),ISNUMBER(SEARCH("two sizes",Q32))),"off_app","in_app"))</f>
        <v/>
      </c>
      <c r="AH32">
        <f>IF(N32="","",IF(ISNUMBER(SEARCH("coupon",N32))+ISNUMBER(SEARCH("sale",N32))+ISNUMBER(SEARCH("kept-vs-returned",N32))+ISNUMBER(SEARCH("sentence",N32))+ISNUMBER(SEARCH("stays with",N32))+ISNUMBER(SEARCH("side-by-side",N32)),IF(ISNUMBER(SEARCH("kept-vs-returned",N32))+ISNUMBER(SEARCH("sentence",N32))+ISNUMBER(SEARCH("stays with",N32))+ISNUMBER(SEARCH("side-by-side",N32)),"legal_present",IF(ISNUMBER(SEARCH("coupon",N32))+ISNUMBER(SEARCH("sale",N32)),"coupon_only","other")),"other"))</f>
        <v/>
      </c>
    </row>
    <row r="33" ht="18" customHeight="1">
      <c r="A33" t="inlineStr">
        <is>
          <t>8/15/2026 1:59:35</t>
        </is>
      </c>
      <c r="B33" t="inlineStr">
        <is>
          <t>Yes, continue</t>
        </is>
      </c>
      <c r="C33" t="inlineStr">
        <is>
          <t>Yes</t>
        </is>
      </c>
      <c r="D33" t="inlineStr">
        <is>
          <t>Woman</t>
        </is>
      </c>
      <c r="E33" t="inlineStr">
        <is>
          <t>24–32</t>
        </is>
      </c>
      <c r="F33" t="inlineStr">
        <is>
          <t>Coimbatore</t>
        </is>
      </c>
      <c r="G33" t="inlineStr">
        <is>
          <t>15–40</t>
        </is>
      </c>
      <c r="H33" t="inlineStr">
        <is>
          <t>Yes</t>
        </is>
      </c>
      <c r="I33" t="inlineStr">
        <is>
          <t>Most days</t>
        </is>
      </c>
      <c r="J33" t="inlineStr">
        <is>
          <t>To compare with other pieces I saved</t>
        </is>
      </c>
      <c r="K33" t="inlineStr">
        <is>
          <t>Maybe</t>
        </is>
      </c>
      <c r="L33" t="inlineStr">
        <is>
          <t>I can’t choose between a few similar things I saved</t>
        </is>
      </c>
      <c r="M33" t="inlineStr">
        <is>
          <t>Fit on my body / height, Occasion / office-appropriateness</t>
        </is>
      </c>
      <c r="N33" t="inlineStr">
        <is>
          <t>A side-by-side of the other pieces I saved, on fit — not on discount %, A kept-vs-returned story from people my size and height, on the wishlist card, A suggested size that stays with the saved item (not only on the product page)</t>
        </is>
      </c>
      <c r="O33" t="inlineStr">
        <is>
          <t>How this sat on someone near my height, Return policy in words, not an icon</t>
        </is>
      </c>
      <c r="P33" t="inlineStr">
        <is>
          <t>Yes — I will buy one of them</t>
        </is>
      </c>
      <c r="Q33" t="inlineStr">
        <is>
          <t>WhatsApp / send photos to friends or family, YouTube haul / try-on, Google size charts or reviews</t>
        </is>
      </c>
      <c r="R33" t="inlineStr">
        <is>
          <t>Only buy brands I have kept before, Read 50+ reviews on the product page, Ask a friend their size in that brand, Don’t buy — leave it wishlisted</t>
        </is>
      </c>
      <c r="S33" t="inlineStr">
        <is>
          <t>Yes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2</t>
        </is>
      </c>
      <c r="X33" t="inlineStr">
        <is>
          <t>4</t>
        </is>
      </c>
      <c r="Y33" t="inlineStr">
        <is>
          <t>A mix</t>
        </is>
      </c>
      <c r="Z33" t="inlineStr">
        <is>
          <t>5'2"–5'5"</t>
        </is>
      </c>
      <c r="AA33" t="inlineStr">
        <is>
          <t>XS</t>
        </is>
      </c>
      <c r="AB33" t="inlineStr">
        <is>
          <t>Yes, same letter</t>
        </is>
      </c>
      <c r="AC33" t="inlineStr">
        <is>
          <t>Mix of workwear and occasion</t>
        </is>
      </c>
      <c r="AD33" t="inlineStr">
        <is>
          <t>Three office shirts saved. I will buy one. I cannot pick.</t>
        </is>
      </c>
      <c r="AE33">
        <f>IF(C33="","",IF(AND(D33="Woman",E33="24–32",OR(F33="Bengaluru",F33="Hyderabad",F33="Delhi",F33="Gurugram",F33="Noida",F33="Coimbatore"),OR(G33="15–40",G33="41–80",G33="81+"),H33="Yes",OR(I33="Most days",I33="About weekly")),"YES","NO"))</f>
        <v/>
      </c>
      <c r="AF33">
        <f>IF(L33="","",IF(ISNUMBER(SEARCH("fit",L33)),"fit",IF(ISNUMBER(SEARCH("return",L33))+ISNUMBER(SEARCH("seal",L33)),"return",IF(ISNUMBER(SEARCH("chart",L33)),"chart",IF(ISNUMBER(SEARCH("choose",L33)),"compare",IF(ISNUMBER(SEARCH("sale",L33)),"sale",IF(ISNUMBER(SEARCH("never",L33)),"bookmark",IF(ISNUMBER(SEARCH("mess",L33)),"clutter",IF(ISNUMBER(SEARCH("wear it",L33)),"occasion",IF(ISNUMBER(SEARCH("quality",L33)),"quality","other"))))))))))</f>
        <v/>
      </c>
      <c r="AG33">
        <f>IF(Q33="","",IF(OR(ISNUMBER(SEARCH("WhatsApp",Q33)),ISNUMBER(SEARCH("YouTube",Q33)),ISNUMBER(SEARCH("Instagram",Q33)),ISNUMBER(SEARCH("Google",Q33)),ISNUMBER(SEARCH("store",Q33)),ISNUMBER(SEARCH("two sizes",Q33))),"off_app","in_app"))</f>
        <v/>
      </c>
      <c r="AH33">
        <f>IF(N33="","",IF(ISNUMBER(SEARCH("coupon",N33))+ISNUMBER(SEARCH("sale",N33))+ISNUMBER(SEARCH("kept-vs-returned",N33))+ISNUMBER(SEARCH("sentence",N33))+ISNUMBER(SEARCH("stays with",N33))+ISNUMBER(SEARCH("side-by-side",N33)),IF(ISNUMBER(SEARCH("kept-vs-returned",N33))+ISNUMBER(SEARCH("sentence",N33))+ISNUMBER(SEARCH("stays with",N33))+ISNUMBER(SEARCH("side-by-side",N33)),"legal_present",IF(ISNUMBER(SEARCH("coupon",N33))+ISNUMBER(SEARCH("sale",N33)),"coupon_only","other")),"other"))</f>
        <v/>
      </c>
    </row>
    <row r="34" ht="18" customHeight="1">
      <c r="A34" t="inlineStr">
        <is>
          <t>8/15/2026 8:58:53</t>
        </is>
      </c>
      <c r="B34" t="inlineStr">
        <is>
          <t>Yes, continue</t>
        </is>
      </c>
      <c r="C34" t="inlineStr">
        <is>
          <t>Yes</t>
        </is>
      </c>
      <c r="D34" t="inlineStr">
        <is>
          <t>Woman</t>
        </is>
      </c>
      <c r="E34" t="inlineStr">
        <is>
          <t>24–32</t>
        </is>
      </c>
      <c r="F34" t="inlineStr">
        <is>
          <t>Delhi</t>
        </is>
      </c>
      <c r="G34" t="inlineStr">
        <is>
          <t>15–40</t>
        </is>
      </c>
      <c r="H34" t="inlineStr">
        <is>
          <t>Yes</t>
        </is>
      </c>
      <c r="I34" t="inlineStr">
        <is>
          <t>Most days</t>
        </is>
      </c>
      <c r="J34" t="inlineStr">
        <is>
          <t>Waiting for a sale or price drop</t>
        </is>
      </c>
      <c r="K34" t="inlineStr">
        <is>
          <t>Yes</t>
        </is>
      </c>
      <c r="L34" t="inlineStr">
        <is>
          <t>I’m waiting for a sale or discount</t>
        </is>
      </c>
      <c r="M34" t="inlineStr">
        <is>
          <t>Price, Whether I can return or exchange it</t>
        </is>
      </c>
      <c r="N34" t="inlineStr">
        <is>
          <t>A coupon or sale, Return / seal-tag / exchange-only written as a sentence on the card, A kept-vs-returned story from people my size and height, on the wishlist card</t>
        </is>
      </c>
      <c r="O34" t="inlineStr">
        <is>
          <t>How this sat on someone near my height, Return policy in words, not an icon</t>
        </is>
      </c>
      <c r="P34" t="inlineStr">
        <is>
          <t>Yes — but I may buy none</t>
        </is>
      </c>
      <c r="Q34" t="inlineStr">
        <is>
          <t>WhatsApp / send photos to friends or family, YouTube haul / try-on, Instagram</t>
        </is>
      </c>
      <c r="R34" t="inlineStr">
        <is>
          <t>Only buy brands I have kept before, Read 50+ reviews on the product page, Ask a friend their size in that brand, Wait for a sale so a failed return hurts less, Don’t buy — leave it wishlisted</t>
        </is>
      </c>
      <c r="S34" t="inlineStr">
        <is>
          <t>No</t>
        </is>
      </c>
      <c r="T34" t="inlineStr">
        <is>
          <t>3</t>
        </is>
      </c>
      <c r="U34" t="inlineStr">
        <is>
          <t>4</t>
        </is>
      </c>
      <c r="V34" t="inlineStr">
        <is>
          <t>5</t>
        </is>
      </c>
      <c r="W34" t="inlineStr">
        <is>
          <t>2</t>
        </is>
      </c>
      <c r="X34" t="inlineStr">
        <is>
          <t>4</t>
        </is>
      </c>
      <c r="Y34" t="inlineStr">
        <is>
          <t>A shopping list I intend to buy from</t>
        </is>
      </c>
      <c r="Z34" t="inlineStr">
        <is>
          <t>5'2"–5'5"</t>
        </is>
      </c>
      <c r="AA34" t="inlineStr">
        <is>
          <t>S</t>
        </is>
      </c>
      <c r="AB34" t="inlineStr">
        <is>
          <t>Yes, same letter</t>
        </is>
      </c>
      <c r="AC34" t="inlineStr">
        <is>
          <t>Mostly occasion / ethnic</t>
        </is>
      </c>
      <c r="AD34" t="inlineStr">
        <is>
          <t>Salary week I browse. I still don’t bag if fit is a coin flip, even on sale.</t>
        </is>
      </c>
      <c r="AE34">
        <f>IF(C34="","",IF(AND(D34="Woman",E34="24–32",OR(F34="Bengaluru",F34="Hyderabad",F34="Delhi",F34="Gurugram",F34="Noida",F34="Coimbatore"),OR(G34="15–40",G34="41–80",G34="81+"),H34="Yes",OR(I34="Most days",I34="About weekly")),"YES","NO"))</f>
        <v/>
      </c>
      <c r="AF34">
        <f>IF(L34="","",IF(ISNUMBER(SEARCH("fit",L34)),"fit",IF(ISNUMBER(SEARCH("return",L34))+ISNUMBER(SEARCH("seal",L34)),"return",IF(ISNUMBER(SEARCH("chart",L34)),"chart",IF(ISNUMBER(SEARCH("choose",L34)),"compare",IF(ISNUMBER(SEARCH("sale",L34)),"sale",IF(ISNUMBER(SEARCH("never",L34)),"bookmark",IF(ISNUMBER(SEARCH("mess",L34)),"clutter",IF(ISNUMBER(SEARCH("wear it",L34)),"occasion",IF(ISNUMBER(SEARCH("quality",L34)),"quality","other"))))))))))</f>
        <v/>
      </c>
      <c r="AG34">
        <f>IF(Q34="","",IF(OR(ISNUMBER(SEARCH("WhatsApp",Q34)),ISNUMBER(SEARCH("YouTube",Q34)),ISNUMBER(SEARCH("Instagram",Q34)),ISNUMBER(SEARCH("Google",Q34)),ISNUMBER(SEARCH("store",Q34)),ISNUMBER(SEARCH("two sizes",Q34))),"off_app","in_app"))</f>
        <v/>
      </c>
      <c r="AH34">
        <f>IF(N34="","",IF(ISNUMBER(SEARCH("coupon",N34))+ISNUMBER(SEARCH("sale",N34))+ISNUMBER(SEARCH("kept-vs-returned",N34))+ISNUMBER(SEARCH("sentence",N34))+ISNUMBER(SEARCH("stays with",N34))+ISNUMBER(SEARCH("side-by-side",N34)),IF(ISNUMBER(SEARCH("kept-vs-returned",N34))+ISNUMBER(SEARCH("sentence",N34))+ISNUMBER(SEARCH("stays with",N34))+ISNUMBER(SEARCH("side-by-side",N34)),"legal_present",IF(ISNUMBER(SEARCH("coupon",N34))+ISNUMBER(SEARCH("sale",N34)),"coupon_only","other")),"other"))</f>
        <v/>
      </c>
    </row>
    <row r="35" ht="18" customHeight="1">
      <c r="A35" t="inlineStr">
        <is>
          <t>8/15/2026 9:15:41</t>
        </is>
      </c>
      <c r="B35" t="inlineStr">
        <is>
          <t>Yes, continue</t>
        </is>
      </c>
      <c r="C35" t="inlineStr">
        <is>
          <t>Yes</t>
        </is>
      </c>
      <c r="D35" t="inlineStr">
        <is>
          <t>Woman</t>
        </is>
      </c>
      <c r="E35" t="inlineStr">
        <is>
          <t>24–32</t>
        </is>
      </c>
      <c r="F35" t="inlineStr">
        <is>
          <t>Noida</t>
        </is>
      </c>
      <c r="G35" t="inlineStr">
        <is>
          <t>1–14</t>
        </is>
      </c>
      <c r="H35" t="inlineStr">
        <is>
          <t>Yes</t>
        </is>
      </c>
      <c r="I35" t="inlineStr">
        <is>
          <t>About weekly</t>
        </is>
      </c>
      <c r="J35" t="inlineStr">
        <is>
          <t>To compare with other pieces I saved</t>
        </is>
      </c>
      <c r="K35" t="inlineStr">
        <is>
          <t>Maybe</t>
        </is>
      </c>
      <c r="L35" t="inlineStr">
        <is>
          <t>I can’t choose between a few similar things I saved</t>
        </is>
      </c>
      <c r="M35" t="inlineStr">
        <is>
          <t>Fit on my body / height, Occasion / office-appropriateness</t>
        </is>
      </c>
      <c r="N35" t="inlineStr">
        <is>
          <t>A side-by-side of the other pieces I saved, on fit — not on discount %, A kept-vs-returned story from people my size and height, on the wishlist card, A suggested size that stays with the saved item (not only on the product page)</t>
        </is>
      </c>
      <c r="O35" t="inlineStr">
        <is>
          <t>How this sat on someone near my height, Return policy in words, not an icon</t>
        </is>
      </c>
      <c r="P35" t="inlineStr">
        <is>
          <t>Yes — I will buy one of them</t>
        </is>
      </c>
      <c r="Q35" t="inlineStr">
        <is>
          <t>WhatsApp / send photos to friends or family, YouTube haul / try-on</t>
        </is>
      </c>
      <c r="R35" t="inlineStr">
        <is>
          <t>Only buy brands I have kept before, Read 50+ reviews on the product page</t>
        </is>
      </c>
      <c r="S35" t="inlineStr">
        <is>
          <t>No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2</t>
        </is>
      </c>
      <c r="X35" t="inlineStr">
        <is>
          <t>4</t>
        </is>
      </c>
      <c r="Y35" t="inlineStr">
        <is>
          <t>A mix</t>
        </is>
      </c>
      <c r="Z35" t="inlineStr">
        <is>
          <t>Under 5'2"</t>
        </is>
      </c>
      <c r="AA35" t="inlineStr">
        <is>
          <t>M</t>
        </is>
      </c>
      <c r="AB35" t="inlineStr">
        <is>
          <t>Yes, same letter</t>
        </is>
      </c>
      <c r="AC35" t="inlineStr">
        <is>
          <t>Mostly workwear</t>
        </is>
      </c>
      <c r="AD35" t="inlineStr"/>
      <c r="AE35">
        <f>IF(C35="","",IF(AND(D35="Woman",E35="24–32",OR(F35="Bengaluru",F35="Hyderabad",F35="Delhi",F35="Gurugram",F35="Noida",F35="Coimbatore"),OR(G35="15–40",G35="41–80",G35="81+"),H35="Yes",OR(I35="Most days",I35="About weekly")),"YES","NO"))</f>
        <v/>
      </c>
      <c r="AF35">
        <f>IF(L35="","",IF(ISNUMBER(SEARCH("fit",L35)),"fit",IF(ISNUMBER(SEARCH("return",L35))+ISNUMBER(SEARCH("seal",L35)),"return",IF(ISNUMBER(SEARCH("chart",L35)),"chart",IF(ISNUMBER(SEARCH("choose",L35)),"compare",IF(ISNUMBER(SEARCH("sale",L35)),"sale",IF(ISNUMBER(SEARCH("never",L35)),"bookmark",IF(ISNUMBER(SEARCH("mess",L35)),"clutter",IF(ISNUMBER(SEARCH("wear it",L35)),"occasion",IF(ISNUMBER(SEARCH("quality",L35)),"quality","other"))))))))))</f>
        <v/>
      </c>
      <c r="AG35">
        <f>IF(Q35="","",IF(OR(ISNUMBER(SEARCH("WhatsApp",Q35)),ISNUMBER(SEARCH("YouTube",Q35)),ISNUMBER(SEARCH("Instagram",Q35)),ISNUMBER(SEARCH("Google",Q35)),ISNUMBER(SEARCH("store",Q35)),ISNUMBER(SEARCH("two sizes",Q35))),"off_app","in_app"))</f>
        <v/>
      </c>
      <c r="AH35">
        <f>IF(N35="","",IF(ISNUMBER(SEARCH("coupon",N35))+ISNUMBER(SEARCH("sale",N35))+ISNUMBER(SEARCH("kept-vs-returned",N35))+ISNUMBER(SEARCH("sentence",N35))+ISNUMBER(SEARCH("stays with",N35))+ISNUMBER(SEARCH("side-by-side",N35)),IF(ISNUMBER(SEARCH("kept-vs-returned",N35))+ISNUMBER(SEARCH("sentence",N35))+ISNUMBER(SEARCH("stays with",N35))+ISNUMBER(SEARCH("side-by-side",N35)),"legal_present",IF(ISNUMBER(SEARCH("coupon",N35))+ISNUMBER(SEARCH("sale",N35)),"coupon_only","other")),"other"))</f>
        <v/>
      </c>
    </row>
    <row r="36" ht="18" customHeight="1">
      <c r="A36" t="inlineStr">
        <is>
          <t>8/15/2026 11:06:02</t>
        </is>
      </c>
      <c r="B36" t="inlineStr">
        <is>
          <t>Yes, continue</t>
        </is>
      </c>
      <c r="C36" t="inlineStr">
        <is>
          <t>Yes</t>
        </is>
      </c>
      <c r="D36" t="inlineStr">
        <is>
          <t>Woman</t>
        </is>
      </c>
      <c r="E36" t="inlineStr">
        <is>
          <t>24–32</t>
        </is>
      </c>
      <c r="F36" t="inlineStr">
        <is>
          <t>Gurugram</t>
        </is>
      </c>
      <c r="G36" t="inlineStr">
        <is>
          <t>15–40</t>
        </is>
      </c>
      <c r="H36" t="inlineStr">
        <is>
          <t>Yes</t>
        </is>
      </c>
      <c r="I36" t="inlineStr">
        <is>
          <t>Most days</t>
        </is>
      </c>
      <c r="J36" t="inlineStr">
        <is>
          <t>I meant to buy it soon</t>
        </is>
      </c>
      <c r="K36" t="inlineStr">
        <is>
          <t>Yes</t>
        </is>
      </c>
      <c r="L36" t="inlineStr">
        <is>
          <t>I don’t know if it will fit me / this brand’s cut</t>
        </is>
      </c>
      <c r="M36" t="inlineStr">
        <is>
          <t>Fit on my body / height, Which size to pick, Whether I can return or exchange it</t>
        </is>
      </c>
      <c r="N36" t="inlineStr">
        <is>
          <t>A kept-vs-returned story from people my size and height, on the wishlist card, A suggested size that stays with the saved item (not only on the product page)</t>
        </is>
      </c>
      <c r="O36" t="inlineStr">
        <is>
          <t>How this sat on someone near my height, Whether people who wear my usual size kept it, Length / crop / rise for my height, Ethnic size vs my top size, labelled separately</t>
        </is>
      </c>
      <c r="P36" t="inlineStr">
        <is>
          <t>No</t>
        </is>
      </c>
      <c r="Q36" t="inlineStr">
        <is>
          <t>WhatsApp / send photos to friends or family, YouTube haul / try-on, Instagram</t>
        </is>
      </c>
      <c r="R36" t="inlineStr">
        <is>
          <t>Only buy brands I have kept before, Read 50+ reviews on the product page, Ask a friend their size in that brand, Order two sizes, Don’t buy — leave it wishlisted</t>
        </is>
      </c>
      <c r="S36" t="inlineStr">
        <is>
          <t>Yes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A shopping list I intend to buy from</t>
        </is>
      </c>
      <c r="Z36" t="inlineStr">
        <is>
          <t>Under 5'2"</t>
        </is>
      </c>
      <c r="AA36" t="inlineStr">
        <is>
          <t>S</t>
        </is>
      </c>
      <c r="AB36" t="inlineStr">
        <is>
          <t>I don’t buy ethnic on Myntra</t>
        </is>
      </c>
      <c r="AC36" t="inlineStr">
        <is>
          <t>Mix of workwear and occasion</t>
        </is>
      </c>
      <c r="AD36" t="inlineStr">
        <is>
          <t>H&amp;M M is not this brand’s M. I will not bag until someone my height kept it.</t>
        </is>
      </c>
      <c r="AE36">
        <f>IF(C36="","",IF(AND(D36="Woman",E36="24–32",OR(F36="Bengaluru",F36="Hyderabad",F36="Delhi",F36="Gurugram",F36="Noida",F36="Coimbatore"),OR(G36="15–40",G36="41–80",G36="81+"),H36="Yes",OR(I36="Most days",I36="About weekly")),"YES","NO"))</f>
        <v/>
      </c>
      <c r="AF36">
        <f>IF(L36="","",IF(ISNUMBER(SEARCH("fit",L36)),"fit",IF(ISNUMBER(SEARCH("return",L36))+ISNUMBER(SEARCH("seal",L36)),"return",IF(ISNUMBER(SEARCH("chart",L36)),"chart",IF(ISNUMBER(SEARCH("choose",L36)),"compare",IF(ISNUMBER(SEARCH("sale",L36)),"sale",IF(ISNUMBER(SEARCH("never",L36)),"bookmark",IF(ISNUMBER(SEARCH("mess",L36)),"clutter",IF(ISNUMBER(SEARCH("wear it",L36)),"occasion",IF(ISNUMBER(SEARCH("quality",L36)),"quality","other"))))))))))</f>
        <v/>
      </c>
      <c r="AG36">
        <f>IF(Q36="","",IF(OR(ISNUMBER(SEARCH("WhatsApp",Q36)),ISNUMBER(SEARCH("YouTube",Q36)),ISNUMBER(SEARCH("Instagram",Q36)),ISNUMBER(SEARCH("Google",Q36)),ISNUMBER(SEARCH("store",Q36)),ISNUMBER(SEARCH("two sizes",Q36))),"off_app","in_app"))</f>
        <v/>
      </c>
      <c r="AH36">
        <f>IF(N36="","",IF(ISNUMBER(SEARCH("coupon",N36))+ISNUMBER(SEARCH("sale",N36))+ISNUMBER(SEARCH("kept-vs-returned",N36))+ISNUMBER(SEARCH("sentence",N36))+ISNUMBER(SEARCH("stays with",N36))+ISNUMBER(SEARCH("side-by-side",N36)),IF(ISNUMBER(SEARCH("kept-vs-returned",N36))+ISNUMBER(SEARCH("sentence",N36))+ISNUMBER(SEARCH("stays with",N36))+ISNUMBER(SEARCH("side-by-side",N36)),"legal_present",IF(ISNUMBER(SEARCH("coupon",N36))+ISNUMBER(SEARCH("sale",N36)),"coupon_only","other")),"other"))</f>
        <v/>
      </c>
    </row>
    <row r="37" ht="18" customHeight="1">
      <c r="A37" t="inlineStr">
        <is>
          <t>8/15/2026 13:07:57</t>
        </is>
      </c>
      <c r="B37" t="inlineStr">
        <is>
          <t>Yes, continue</t>
        </is>
      </c>
      <c r="C37" t="inlineStr">
        <is>
          <t>Yes</t>
        </is>
      </c>
      <c r="D37" t="inlineStr">
        <is>
          <t>Woman</t>
        </is>
      </c>
      <c r="E37" t="inlineStr">
        <is>
          <t>24–32</t>
        </is>
      </c>
      <c r="F37" t="inlineStr">
        <is>
          <t>Hyderabad</t>
        </is>
      </c>
      <c r="G37" t="inlineStr">
        <is>
          <t>41–80</t>
        </is>
      </c>
      <c r="H37" t="inlineStr">
        <is>
          <t>Yes</t>
        </is>
      </c>
      <c r="I37" t="inlineStr">
        <is>
          <t>About weekly</t>
        </is>
      </c>
      <c r="J37" t="inlineStr">
        <is>
          <t>I meant to buy it soon</t>
        </is>
      </c>
      <c r="K37" t="inlineStr">
        <is>
          <t>Yes</t>
        </is>
      </c>
      <c r="L37" t="inlineStr">
        <is>
          <t>I don’t know if it will fit me / this brand’s cut</t>
        </is>
      </c>
      <c r="M37" t="inlineStr">
        <is>
          <t>Fit on my body / height, Which size to pick, Whether I can return or exchange it</t>
        </is>
      </c>
      <c r="N37" t="inlineStr">
        <is>
          <t>A kept-vs-returned story from people my size and height, on the wishlist card, A suggested size that stays with the saved item (not only on the product page), Return / seal-tag / exchange-only written as a sentence on the card</t>
        </is>
      </c>
      <c r="O37" t="inlineStr">
        <is>
          <t>How this sat on someone near my height, Whether people who wear my usual size kept it, Length / crop / rise for my height</t>
        </is>
      </c>
      <c r="P37" t="inlineStr">
        <is>
          <t>No</t>
        </is>
      </c>
      <c r="Q37" t="inlineStr">
        <is>
          <t>WhatsApp / send photos to friends or family, YouTube haul / try-on</t>
        </is>
      </c>
      <c r="R37" t="inlineStr">
        <is>
          <t>Only buy brands I have kept before, Read 50+ reviews on the product page, Don’t buy — leave it wishlisted</t>
        </is>
      </c>
      <c r="S37" t="inlineStr">
        <is>
          <t>Yes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A shopping list I intend to buy from</t>
        </is>
      </c>
      <c r="Z37" t="inlineStr">
        <is>
          <t>5'2"–5'5"</t>
        </is>
      </c>
      <c r="AA37" t="inlineStr">
        <is>
          <t>XS</t>
        </is>
      </c>
      <c r="AB37" t="inlineStr">
        <is>
          <t>No — ethnic runs different</t>
        </is>
      </c>
      <c r="AC37" t="inlineStr">
        <is>
          <t>Mix of workwear and occasion</t>
        </is>
      </c>
      <c r="AD37" t="inlineStr">
        <is>
          <t>I liked it in ten seconds. Deciding size has taken two weeks.</t>
        </is>
      </c>
      <c r="AE37">
        <f>IF(C37="","",IF(AND(D37="Woman",E37="24–32",OR(F37="Bengaluru",F37="Hyderabad",F37="Delhi",F37="Gurugram",F37="Noida",F37="Coimbatore"),OR(G37="15–40",G37="41–80",G37="81+"),H37="Yes",OR(I37="Most days",I37="About weekly")),"YES","NO"))</f>
        <v/>
      </c>
      <c r="AF37">
        <f>IF(L37="","",IF(ISNUMBER(SEARCH("fit",L37)),"fit",IF(ISNUMBER(SEARCH("return",L37))+ISNUMBER(SEARCH("seal",L37)),"return",IF(ISNUMBER(SEARCH("chart",L37)),"chart",IF(ISNUMBER(SEARCH("choose",L37)),"compare",IF(ISNUMBER(SEARCH("sale",L37)),"sale",IF(ISNUMBER(SEARCH("never",L37)),"bookmark",IF(ISNUMBER(SEARCH("mess",L37)),"clutter",IF(ISNUMBER(SEARCH("wear it",L37)),"occasion",IF(ISNUMBER(SEARCH("quality",L37)),"quality","other"))))))))))</f>
        <v/>
      </c>
      <c r="AG37">
        <f>IF(Q37="","",IF(OR(ISNUMBER(SEARCH("WhatsApp",Q37)),ISNUMBER(SEARCH("YouTube",Q37)),ISNUMBER(SEARCH("Instagram",Q37)),ISNUMBER(SEARCH("Google",Q37)),ISNUMBER(SEARCH("store",Q37)),ISNUMBER(SEARCH("two sizes",Q37))),"off_app","in_app"))</f>
        <v/>
      </c>
      <c r="AH37">
        <f>IF(N37="","",IF(ISNUMBER(SEARCH("coupon",N37))+ISNUMBER(SEARCH("sale",N37))+ISNUMBER(SEARCH("kept-vs-returned",N37))+ISNUMBER(SEARCH("sentence",N37))+ISNUMBER(SEARCH("stays with",N37))+ISNUMBER(SEARCH("side-by-side",N37)),IF(ISNUMBER(SEARCH("kept-vs-returned",N37))+ISNUMBER(SEARCH("sentence",N37))+ISNUMBER(SEARCH("stays with",N37))+ISNUMBER(SEARCH("side-by-side",N37)),"legal_present",IF(ISNUMBER(SEARCH("coupon",N37))+ISNUMBER(SEARCH("sale",N37)),"coupon_only","other")),"other"))</f>
        <v/>
      </c>
    </row>
    <row r="38" ht="18" customHeight="1">
      <c r="A38" t="inlineStr">
        <is>
          <t>8/15/2026 15:38:46</t>
        </is>
      </c>
      <c r="B38" t="inlineStr">
        <is>
          <t>Yes, continue</t>
        </is>
      </c>
      <c r="C38" t="inlineStr">
        <is>
          <t>Yes</t>
        </is>
      </c>
      <c r="D38" t="inlineStr">
        <is>
          <t>Woman</t>
        </is>
      </c>
      <c r="E38" t="inlineStr">
        <is>
          <t>24–32</t>
        </is>
      </c>
      <c r="F38" t="inlineStr">
        <is>
          <t>Gurugram</t>
        </is>
      </c>
      <c r="G38" t="inlineStr">
        <is>
          <t>15–40</t>
        </is>
      </c>
      <c r="H38" t="inlineStr">
        <is>
          <t>Yes</t>
        </is>
      </c>
      <c r="I38" t="inlineStr">
        <is>
          <t>Most days</t>
        </is>
      </c>
      <c r="J38" t="inlineStr">
        <is>
          <t>I meant to buy it soon</t>
        </is>
      </c>
      <c r="K38" t="inlineStr">
        <is>
          <t>Yes</t>
        </is>
      </c>
      <c r="L38" t="inlineStr">
        <is>
          <t>I don’t know if it will fit me / this brand’s cut</t>
        </is>
      </c>
      <c r="M38" t="inlineStr">
        <is>
          <t>Fit on my body / height, Which size to pick</t>
        </is>
      </c>
      <c r="N38" t="inlineStr">
        <is>
          <t>A kept-vs-returned story from people my size and height, on the wishlist card, A suggested size that stays with the saved item (not only on the product page), A friend telling me to buy it</t>
        </is>
      </c>
      <c r="O38" t="inlineStr">
        <is>
          <t>How this sat on someone near my height, Whether people who wear my usual size kept it, Length / crop / rise for my height</t>
        </is>
      </c>
      <c r="P38" t="inlineStr">
        <is>
          <t>Yes — but I may buy none</t>
        </is>
      </c>
      <c r="Q38" t="inlineStr">
        <is>
          <t>WhatsApp / send photos to friends or family, YouTube haul / try-on, Instagram</t>
        </is>
      </c>
      <c r="R38" t="inlineStr">
        <is>
          <t>Only buy brands I have kept before, Read 50+ reviews on the product page, Don’t buy — leave it wishlisted</t>
        </is>
      </c>
      <c r="S38" t="inlineStr">
        <is>
          <t>Yes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A shopping list I intend to buy from</t>
        </is>
      </c>
      <c r="Z38" t="inlineStr">
        <is>
          <t>5'5"–5'8"</t>
        </is>
      </c>
      <c r="AA38" t="inlineStr">
        <is>
          <t>M</t>
        </is>
      </c>
      <c r="AB38" t="inlineStr">
        <is>
          <t>Yes, same letter</t>
        </is>
      </c>
      <c r="AC38" t="inlineStr">
        <is>
          <t>Mix of workwear and occasion</t>
        </is>
      </c>
      <c r="AD38" t="inlineStr">
        <is>
          <t>Between M and L. I postpone until I feel sure. I never feel sure.</t>
        </is>
      </c>
      <c r="AE38">
        <f>IF(C38="","",IF(AND(D38="Woman",E38="24–32",OR(F38="Bengaluru",F38="Hyderabad",F38="Delhi",F38="Gurugram",F38="Noida",F38="Coimbatore"),OR(G38="15–40",G38="41–80",G38="81+"),H38="Yes",OR(I38="Most days",I38="About weekly")),"YES","NO"))</f>
        <v/>
      </c>
      <c r="AF38">
        <f>IF(L38="","",IF(ISNUMBER(SEARCH("fit",L38)),"fit",IF(ISNUMBER(SEARCH("return",L38))+ISNUMBER(SEARCH("seal",L38)),"return",IF(ISNUMBER(SEARCH("chart",L38)),"chart",IF(ISNUMBER(SEARCH("choose",L38)),"compare",IF(ISNUMBER(SEARCH("sale",L38)),"sale",IF(ISNUMBER(SEARCH("never",L38)),"bookmark",IF(ISNUMBER(SEARCH("mess",L38)),"clutter",IF(ISNUMBER(SEARCH("wear it",L38)),"occasion",IF(ISNUMBER(SEARCH("quality",L38)),"quality","other"))))))))))</f>
        <v/>
      </c>
      <c r="AG38">
        <f>IF(Q38="","",IF(OR(ISNUMBER(SEARCH("WhatsApp",Q38)),ISNUMBER(SEARCH("YouTube",Q38)),ISNUMBER(SEARCH("Instagram",Q38)),ISNUMBER(SEARCH("Google",Q38)),ISNUMBER(SEARCH("store",Q38)),ISNUMBER(SEARCH("two sizes",Q38))),"off_app","in_app"))</f>
        <v/>
      </c>
      <c r="AH38">
        <f>IF(N38="","",IF(ISNUMBER(SEARCH("coupon",N38))+ISNUMBER(SEARCH("sale",N38))+ISNUMBER(SEARCH("kept-vs-returned",N38))+ISNUMBER(SEARCH("sentence",N38))+ISNUMBER(SEARCH("stays with",N38))+ISNUMBER(SEARCH("side-by-side",N38)),IF(ISNUMBER(SEARCH("kept-vs-returned",N38))+ISNUMBER(SEARCH("sentence",N38))+ISNUMBER(SEARCH("stays with",N38))+ISNUMBER(SEARCH("side-by-side",N38)),"legal_present",IF(ISNUMBER(SEARCH("coupon",N38))+ISNUMBER(SEARCH("sale",N38)),"coupon_only","other")),"other"))</f>
        <v/>
      </c>
    </row>
    <row r="39" ht="18" customHeight="1">
      <c r="A39" t="inlineStr">
        <is>
          <t>8/15/2026 17:18:48</t>
        </is>
      </c>
      <c r="B39" t="inlineStr">
        <is>
          <t>Yes, continue</t>
        </is>
      </c>
      <c r="C39" t="inlineStr">
        <is>
          <t>Yes</t>
        </is>
      </c>
      <c r="D39" t="inlineStr">
        <is>
          <t>Woman</t>
        </is>
      </c>
      <c r="E39" t="inlineStr">
        <is>
          <t>24–32</t>
        </is>
      </c>
      <c r="F39" t="inlineStr">
        <is>
          <t>Bengaluru</t>
        </is>
      </c>
      <c r="G39" t="inlineStr">
        <is>
          <t>41–80</t>
        </is>
      </c>
      <c r="H39" t="inlineStr">
        <is>
          <t>Yes</t>
        </is>
      </c>
      <c r="I39" t="inlineStr">
        <is>
          <t>About weekly</t>
        </is>
      </c>
      <c r="J39" t="inlineStr">
        <is>
          <t>I meant to buy it soon</t>
        </is>
      </c>
      <c r="K39" t="inlineStr">
        <is>
          <t>Yes</t>
        </is>
      </c>
      <c r="L39" t="inlineStr">
        <is>
          <t>I’m worried about returns, exchange-only, or a seal tag</t>
        </is>
      </c>
      <c r="M39" t="inlineStr">
        <is>
          <t>Whether I can return or exchange it, Whether the next size exists, Fit on my body / height</t>
        </is>
      </c>
      <c r="N39" t="inlineStr">
        <is>
          <t>Return / seal-tag / exchange-only written as a sentence on the card, A kept-vs-returned story from people my size and height, on the wishlist card</t>
        </is>
      </c>
      <c r="O39" t="inlineStr">
        <is>
          <t>Return policy in words, not an icon, Whether Try and Buy exists on this SKU, How this sat on someone near my height</t>
        </is>
      </c>
      <c r="P39" t="inlineStr">
        <is>
          <t>Yes — but I may buy none</t>
        </is>
      </c>
      <c r="Q39" t="inlineStr">
        <is>
          <t>WhatsApp / send photos to friends or family, YouTube haul / try-on, Visit a store to touch fabric or try a similar cut, I just wait and never decide</t>
        </is>
      </c>
      <c r="R39" t="inlineStr">
        <is>
          <t>Only buy brands I have kept before, Read 50+ reviews on the product page, Wait for a sale so a failed return hurts less</t>
        </is>
      </c>
      <c r="S39" t="inlineStr">
        <is>
          <t>Not sure</t>
        </is>
      </c>
      <c r="T39" t="inlineStr">
        <is>
          <t>4</t>
        </is>
      </c>
      <c r="U39" t="inlineStr">
        <is>
          <t>5</t>
        </is>
      </c>
      <c r="V39" t="inlineStr">
        <is>
          <t>3</t>
        </is>
      </c>
      <c r="W39" t="inlineStr">
        <is>
          <t>2</t>
        </is>
      </c>
      <c r="X39" t="inlineStr">
        <is>
          <t>2</t>
        </is>
      </c>
      <c r="Y39" t="inlineStr">
        <is>
          <t>A shopping list I intend to buy from</t>
        </is>
      </c>
      <c r="Z39" t="inlineStr">
        <is>
          <t>5'2"–5'5"</t>
        </is>
      </c>
      <c r="AA39" t="inlineStr">
        <is>
          <t>M</t>
        </is>
      </c>
      <c r="AB39" t="inlineStr">
        <is>
          <t>Yes, same letter</t>
        </is>
      </c>
      <c r="AC39" t="inlineStr">
        <is>
          <t>Mix of workwear and occasion</t>
        </is>
      </c>
      <c r="AD39" t="inlineStr"/>
      <c r="AE39">
        <f>IF(C39="","",IF(AND(D39="Woman",E39="24–32",OR(F39="Bengaluru",F39="Hyderabad",F39="Delhi",F39="Gurugram",F39="Noida",F39="Coimbatore"),OR(G39="15–40",G39="41–80",G39="81+"),H39="Yes",OR(I39="Most days",I39="About weekly")),"YES","NO"))</f>
        <v/>
      </c>
      <c r="AF39">
        <f>IF(L39="","",IF(ISNUMBER(SEARCH("fit",L39)),"fit",IF(ISNUMBER(SEARCH("return",L39))+ISNUMBER(SEARCH("seal",L39)),"return",IF(ISNUMBER(SEARCH("chart",L39)),"chart",IF(ISNUMBER(SEARCH("choose",L39)),"compare",IF(ISNUMBER(SEARCH("sale",L39)),"sale",IF(ISNUMBER(SEARCH("never",L39)),"bookmark",IF(ISNUMBER(SEARCH("mess",L39)),"clutter",IF(ISNUMBER(SEARCH("wear it",L39)),"occasion",IF(ISNUMBER(SEARCH("quality",L39)),"quality","other"))))))))))</f>
        <v/>
      </c>
      <c r="AG39">
        <f>IF(Q39="","",IF(OR(ISNUMBER(SEARCH("WhatsApp",Q39)),ISNUMBER(SEARCH("YouTube",Q39)),ISNUMBER(SEARCH("Instagram",Q39)),ISNUMBER(SEARCH("Google",Q39)),ISNUMBER(SEARCH("store",Q39)),ISNUMBER(SEARCH("two sizes",Q39))),"off_app","in_app"))</f>
        <v/>
      </c>
      <c r="AH39">
        <f>IF(N39="","",IF(ISNUMBER(SEARCH("coupon",N39))+ISNUMBER(SEARCH("sale",N39))+ISNUMBER(SEARCH("kept-vs-returned",N39))+ISNUMBER(SEARCH("sentence",N39))+ISNUMBER(SEARCH("stays with",N39))+ISNUMBER(SEARCH("side-by-side",N39)),IF(ISNUMBER(SEARCH("kept-vs-returned",N39))+ISNUMBER(SEARCH("sentence",N39))+ISNUMBER(SEARCH("stays with",N39))+ISNUMBER(SEARCH("side-by-side",N39)),"legal_present",IF(ISNUMBER(SEARCH("coupon",N39))+ISNUMBER(SEARCH("sale",N39)),"coupon_only","other")),"other"))</f>
        <v/>
      </c>
    </row>
    <row r="40" ht="18" customHeight="1">
      <c r="A40" t="inlineStr">
        <is>
          <t>8/15/2026 20:26:54</t>
        </is>
      </c>
      <c r="B40" t="inlineStr">
        <is>
          <t>Yes, continue</t>
        </is>
      </c>
      <c r="C40" t="inlineStr">
        <is>
          <t>Yes</t>
        </is>
      </c>
      <c r="D40" t="inlineStr">
        <is>
          <t>Woman</t>
        </is>
      </c>
      <c r="E40" t="inlineStr">
        <is>
          <t>Under 24</t>
        </is>
      </c>
      <c r="F40" t="inlineStr">
        <is>
          <t>Delhi</t>
        </is>
      </c>
      <c r="G40" t="inlineStr">
        <is>
          <t>81+</t>
        </is>
      </c>
      <c r="H40" t="inlineStr">
        <is>
          <t>Yes</t>
        </is>
      </c>
      <c r="I40" t="inlineStr">
        <is>
          <t>About weekly</t>
        </is>
      </c>
      <c r="J40" t="inlineStr">
        <is>
          <t>I just liked it — not sure I’ll buy</t>
        </is>
      </c>
      <c r="K40" t="inlineStr">
        <is>
          <t>No</t>
        </is>
      </c>
      <c r="L40" t="inlineStr">
        <is>
          <t>I was never really going to buy it</t>
        </is>
      </c>
      <c r="M40" t="inlineStr">
        <is>
          <t>Nothing — I was just bookmarking</t>
        </is>
      </c>
      <c r="N40" t="inlineStr">
        <is>
          <t>Nothing — I don’t intend to buy it</t>
        </is>
      </c>
      <c r="O40" t="inlineStr">
        <is>
          <t>I have everything I need</t>
        </is>
      </c>
      <c r="P40" t="inlineStr">
        <is>
          <t>No</t>
        </is>
      </c>
      <c r="Q40" t="inlineStr">
        <is>
          <t>YouTube haul / try-on</t>
        </is>
      </c>
      <c r="R40" t="inlineStr">
        <is>
          <t>Don’t buy — leave it wishlisted</t>
        </is>
      </c>
      <c r="S40" t="inlineStr">
        <is>
          <t>Not sure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3</t>
        </is>
      </c>
      <c r="Y40" t="inlineStr">
        <is>
          <t>A moodboard / Pinterest</t>
        </is>
      </c>
      <c r="Z40" t="inlineStr">
        <is>
          <t>5'2"–5'5"</t>
        </is>
      </c>
      <c r="AA40" t="inlineStr">
        <is>
          <t>L</t>
        </is>
      </c>
      <c r="AB40" t="inlineStr">
        <is>
          <t>No — ethnic runs different</t>
        </is>
      </c>
      <c r="AC40" t="inlineStr">
        <is>
          <t>Mostly workwear</t>
        </is>
      </c>
      <c r="AD40" t="inlineStr">
        <is>
          <t>Don’t convert my moodboard. Half of this list is pretty, not a cart.</t>
        </is>
      </c>
      <c r="AE40">
        <f>IF(C40="","",IF(AND(D40="Woman",E40="24–32",OR(F40="Bengaluru",F40="Hyderabad",F40="Delhi",F40="Gurugram",F40="Noida",F40="Coimbatore"),OR(G40="15–40",G40="41–80",G40="81+"),H40="Yes",OR(I40="Most days",I40="About weekly")),"YES","NO"))</f>
        <v/>
      </c>
      <c r="AF40">
        <f>IF(L40="","",IF(ISNUMBER(SEARCH("fit",L40)),"fit",IF(ISNUMBER(SEARCH("return",L40))+ISNUMBER(SEARCH("seal",L40)),"return",IF(ISNUMBER(SEARCH("chart",L40)),"chart",IF(ISNUMBER(SEARCH("choose",L40)),"compare",IF(ISNUMBER(SEARCH("sale",L40)),"sale",IF(ISNUMBER(SEARCH("never",L40)),"bookmark",IF(ISNUMBER(SEARCH("mess",L40)),"clutter",IF(ISNUMBER(SEARCH("wear it",L40)),"occasion",IF(ISNUMBER(SEARCH("quality",L40)),"quality","other"))))))))))</f>
        <v/>
      </c>
      <c r="AG40">
        <f>IF(Q40="","",IF(OR(ISNUMBER(SEARCH("WhatsApp",Q40)),ISNUMBER(SEARCH("YouTube",Q40)),ISNUMBER(SEARCH("Instagram",Q40)),ISNUMBER(SEARCH("Google",Q40)),ISNUMBER(SEARCH("store",Q40)),ISNUMBER(SEARCH("two sizes",Q40))),"off_app","in_app"))</f>
        <v/>
      </c>
      <c r="AH40">
        <f>IF(N40="","",IF(ISNUMBER(SEARCH("coupon",N40))+ISNUMBER(SEARCH("sale",N40))+ISNUMBER(SEARCH("kept-vs-returned",N40))+ISNUMBER(SEARCH("sentence",N40))+ISNUMBER(SEARCH("stays with",N40))+ISNUMBER(SEARCH("side-by-side",N40)),IF(ISNUMBER(SEARCH("kept-vs-returned",N40))+ISNUMBER(SEARCH("sentence",N40))+ISNUMBER(SEARCH("stays with",N40))+ISNUMBER(SEARCH("side-by-side",N40)),"legal_present",IF(ISNUMBER(SEARCH("coupon",N40))+ISNUMBER(SEARCH("sale",N40)),"coupon_only","other")),"other"))</f>
        <v/>
      </c>
    </row>
    <row r="41" ht="18" customHeight="1">
      <c r="A41" t="inlineStr">
        <is>
          <t>8/16/2026 2:01:52</t>
        </is>
      </c>
      <c r="B41" t="inlineStr">
        <is>
          <t>Yes, continue</t>
        </is>
      </c>
      <c r="C41" t="inlineStr">
        <is>
          <t>Yes</t>
        </is>
      </c>
      <c r="D41" t="inlineStr">
        <is>
          <t>Woman</t>
        </is>
      </c>
      <c r="E41" t="inlineStr">
        <is>
          <t>24–32</t>
        </is>
      </c>
      <c r="F41" t="inlineStr">
        <is>
          <t>Hyderabad</t>
        </is>
      </c>
      <c r="G41" t="inlineStr">
        <is>
          <t>15–40</t>
        </is>
      </c>
      <c r="H41" t="inlineStr">
        <is>
          <t>Yes</t>
        </is>
      </c>
      <c r="I41" t="inlineStr">
        <is>
          <t>About weekly</t>
        </is>
      </c>
      <c r="J41" t="inlineStr">
        <is>
          <t>I meant to buy it soon</t>
        </is>
      </c>
      <c r="K41" t="inlineStr">
        <is>
          <t>Yes</t>
        </is>
      </c>
      <c r="L41" t="inlineStr">
        <is>
          <t>I don’t know if it will fit me / this brand’s cut</t>
        </is>
      </c>
      <c r="M41" t="inlineStr">
        <is>
          <t>Fit on my body / height, Which size to pick</t>
        </is>
      </c>
      <c r="N41" t="inlineStr">
        <is>
          <t>A kept-vs-returned story from people my size and height, on the wishlist card, A suggested size that stays with the saved item (not only on the product page), Return / seal-tag / exchange-only written as a sentence on the card, A friend telling me to buy it</t>
        </is>
      </c>
      <c r="O41" t="inlineStr">
        <is>
          <t>How this sat on someone near my height, Whether people who wear my usual size kept it, Length / crop / rise for my height, Ethnic size vs my top size, labelled separately</t>
        </is>
      </c>
      <c r="P41" t="inlineStr">
        <is>
          <t>No</t>
        </is>
      </c>
      <c r="Q41" t="inlineStr">
        <is>
          <t>WhatsApp / send photos to friends or family, YouTube haul / try-on</t>
        </is>
      </c>
      <c r="R41" t="inlineStr">
        <is>
          <t>Only buy brands I have kept before, Read 50+ reviews on the product page</t>
        </is>
      </c>
      <c r="S41" t="inlineStr">
        <is>
          <t>Yes</t>
        </is>
      </c>
      <c r="T41" t="inlineStr">
        <is>
          <t>5</t>
        </is>
      </c>
      <c r="U41" t="inlineStr">
        <is>
          <t>3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A shopping list I intend to buy from</t>
        </is>
      </c>
      <c r="Z41" t="inlineStr">
        <is>
          <t>5'2"–5'5"</t>
        </is>
      </c>
      <c r="AA41" t="inlineStr">
        <is>
          <t>XS</t>
        </is>
      </c>
      <c r="AB41" t="inlineStr">
        <is>
          <t>No — ethnic runs different</t>
        </is>
      </c>
      <c r="AC41" t="inlineStr">
        <is>
          <t>Mostly workwear</t>
        </is>
      </c>
      <c r="AD41" t="inlineStr">
        <is>
          <t>Cropped blazer. Shoulders. I still don’t know. So it sits.</t>
        </is>
      </c>
      <c r="AE41">
        <f>IF(C41="","",IF(AND(D41="Woman",E41="24–32",OR(F41="Bengaluru",F41="Hyderabad",F41="Delhi",F41="Gurugram",F41="Noida",F41="Coimbatore"),OR(G41="15–40",G41="41–80",G41="81+"),H41="Yes",OR(I41="Most days",I41="About weekly")),"YES","NO"))</f>
        <v/>
      </c>
      <c r="AF41">
        <f>IF(L41="","",IF(ISNUMBER(SEARCH("fit",L41)),"fit",IF(ISNUMBER(SEARCH("return",L41))+ISNUMBER(SEARCH("seal",L41)),"return",IF(ISNUMBER(SEARCH("chart",L41)),"chart",IF(ISNUMBER(SEARCH("choose",L41)),"compare",IF(ISNUMBER(SEARCH("sale",L41)),"sale",IF(ISNUMBER(SEARCH("never",L41)),"bookmark",IF(ISNUMBER(SEARCH("mess",L41)),"clutter",IF(ISNUMBER(SEARCH("wear it",L41)),"occasion",IF(ISNUMBER(SEARCH("quality",L41)),"quality","other"))))))))))</f>
        <v/>
      </c>
      <c r="AG41">
        <f>IF(Q41="","",IF(OR(ISNUMBER(SEARCH("WhatsApp",Q41)),ISNUMBER(SEARCH("YouTube",Q41)),ISNUMBER(SEARCH("Instagram",Q41)),ISNUMBER(SEARCH("Google",Q41)),ISNUMBER(SEARCH("store",Q41)),ISNUMBER(SEARCH("two sizes",Q41))),"off_app","in_app"))</f>
        <v/>
      </c>
      <c r="AH41">
        <f>IF(N41="","",IF(ISNUMBER(SEARCH("coupon",N41))+ISNUMBER(SEARCH("sale",N41))+ISNUMBER(SEARCH("kept-vs-returned",N41))+ISNUMBER(SEARCH("sentence",N41))+ISNUMBER(SEARCH("stays with",N41))+ISNUMBER(SEARCH("side-by-side",N41)),IF(ISNUMBER(SEARCH("kept-vs-returned",N41))+ISNUMBER(SEARCH("sentence",N41))+ISNUMBER(SEARCH("stays with",N41))+ISNUMBER(SEARCH("side-by-side",N41)),"legal_present",IF(ISNUMBER(SEARCH("coupon",N41))+ISNUMBER(SEARCH("sale",N41)),"coupon_only","other")),"other"))</f>
        <v/>
      </c>
    </row>
    <row r="42" ht="18" customHeight="1">
      <c r="A42" t="inlineStr">
        <is>
          <t>8/16/2026 2:06:26</t>
        </is>
      </c>
      <c r="B42" t="inlineStr">
        <is>
          <t>Yes, continue</t>
        </is>
      </c>
      <c r="C42" t="inlineStr">
        <is>
          <t>Yes</t>
        </is>
      </c>
      <c r="D42" t="inlineStr">
        <is>
          <t>Woman</t>
        </is>
      </c>
      <c r="E42" t="inlineStr">
        <is>
          <t>24–32</t>
        </is>
      </c>
      <c r="F42" t="inlineStr">
        <is>
          <t>Coimbatore</t>
        </is>
      </c>
      <c r="G42" t="inlineStr">
        <is>
          <t>15–40</t>
        </is>
      </c>
      <c r="H42" t="inlineStr">
        <is>
          <t>Yes</t>
        </is>
      </c>
      <c r="I42" t="inlineStr">
        <is>
          <t>About weekly</t>
        </is>
      </c>
      <c r="J42" t="inlineStr">
        <is>
          <t>I meant to buy it soon</t>
        </is>
      </c>
      <c r="K42" t="inlineStr">
        <is>
          <t>Yes</t>
        </is>
      </c>
      <c r="L42" t="inlineStr">
        <is>
          <t>I’m worried about returns, exchange-only, or a seal tag</t>
        </is>
      </c>
      <c r="M42" t="inlineStr">
        <is>
          <t>Whether I can return or exchange it, Whether the next size exists, Fit on my body / height</t>
        </is>
      </c>
      <c r="N42" t="inlineStr">
        <is>
          <t>Return / seal-tag / exchange-only written as a sentence on the card, A kept-vs-returned story from people my size and height, on the wishlist card</t>
        </is>
      </c>
      <c r="O42" t="inlineStr">
        <is>
          <t>Return policy in words, not an icon, Whether Try and Buy exists on this SKU, How this sat on someone near my height</t>
        </is>
      </c>
      <c r="P42" t="inlineStr">
        <is>
          <t>Yes — I will buy one of them</t>
        </is>
      </c>
      <c r="Q42" t="inlineStr">
        <is>
          <t>WhatsApp / send photos to friends or family, YouTube haul / try-on</t>
        </is>
      </c>
      <c r="R42" t="inlineStr">
        <is>
          <t>Only buy brands I have kept before, Read 50+ reviews on the product page, Wait for a sale so a failed return hurts less, Don’t buy — leave it wishlisted</t>
        </is>
      </c>
      <c r="S42" t="inlineStr">
        <is>
          <t>Yes</t>
        </is>
      </c>
      <c r="T42" t="inlineStr">
        <is>
          <t>4</t>
        </is>
      </c>
      <c r="U42" t="inlineStr">
        <is>
          <t>5</t>
        </is>
      </c>
      <c r="V42" t="inlineStr">
        <is>
          <t>3</t>
        </is>
      </c>
      <c r="W42" t="inlineStr">
        <is>
          <t>2</t>
        </is>
      </c>
      <c r="X42" t="inlineStr">
        <is>
          <t>2</t>
        </is>
      </c>
      <c r="Y42" t="inlineStr">
        <is>
          <t>A shopping list I intend to buy from</t>
        </is>
      </c>
      <c r="Z42" t="inlineStr">
        <is>
          <t>5'2"–5'5"</t>
        </is>
      </c>
      <c r="AA42" t="inlineStr">
        <is>
          <t>M</t>
        </is>
      </c>
      <c r="AB42" t="inlineStr">
        <is>
          <t>No — ethnic runs different</t>
        </is>
      </c>
      <c r="AC42" t="inlineStr">
        <is>
          <t>Mix of workwear and occasion</t>
        </is>
      </c>
      <c r="AD42" t="inlineStr">
        <is>
          <t>Exchange-only should scream before I get attached. I found it too late.</t>
        </is>
      </c>
      <c r="AE42">
        <f>IF(C42="","",IF(AND(D42="Woman",E42="24–32",OR(F42="Bengaluru",F42="Hyderabad",F42="Delhi",F42="Gurugram",F42="Noida",F42="Coimbatore"),OR(G42="15–40",G42="41–80",G42="81+"),H42="Yes",OR(I42="Most days",I42="About weekly")),"YES","NO"))</f>
        <v/>
      </c>
      <c r="AF42">
        <f>IF(L42="","",IF(ISNUMBER(SEARCH("fit",L42)),"fit",IF(ISNUMBER(SEARCH("return",L42))+ISNUMBER(SEARCH("seal",L42)),"return",IF(ISNUMBER(SEARCH("chart",L42)),"chart",IF(ISNUMBER(SEARCH("choose",L42)),"compare",IF(ISNUMBER(SEARCH("sale",L42)),"sale",IF(ISNUMBER(SEARCH("never",L42)),"bookmark",IF(ISNUMBER(SEARCH("mess",L42)),"clutter",IF(ISNUMBER(SEARCH("wear it",L42)),"occasion",IF(ISNUMBER(SEARCH("quality",L42)),"quality","other"))))))))))</f>
        <v/>
      </c>
      <c r="AG42">
        <f>IF(Q42="","",IF(OR(ISNUMBER(SEARCH("WhatsApp",Q42)),ISNUMBER(SEARCH("YouTube",Q42)),ISNUMBER(SEARCH("Instagram",Q42)),ISNUMBER(SEARCH("Google",Q42)),ISNUMBER(SEARCH("store",Q42)),ISNUMBER(SEARCH("two sizes",Q42))),"off_app","in_app"))</f>
        <v/>
      </c>
      <c r="AH42">
        <f>IF(N42="","",IF(ISNUMBER(SEARCH("coupon",N42))+ISNUMBER(SEARCH("sale",N42))+ISNUMBER(SEARCH("kept-vs-returned",N42))+ISNUMBER(SEARCH("sentence",N42))+ISNUMBER(SEARCH("stays with",N42))+ISNUMBER(SEARCH("side-by-side",N42)),IF(ISNUMBER(SEARCH("kept-vs-returned",N42))+ISNUMBER(SEARCH("sentence",N42))+ISNUMBER(SEARCH("stays with",N42))+ISNUMBER(SEARCH("side-by-side",N42)),"legal_present",IF(ISNUMBER(SEARCH("coupon",N42))+ISNUMBER(SEARCH("sale",N42)),"coupon_only","other")),"other"))</f>
        <v/>
      </c>
    </row>
    <row r="43" ht="18" customHeight="1">
      <c r="A43" t="inlineStr">
        <is>
          <t>8/16/2026 4:35:32</t>
        </is>
      </c>
      <c r="B43" t="inlineStr">
        <is>
          <t>Yes, continue</t>
        </is>
      </c>
      <c r="C43" t="inlineStr">
        <is>
          <t>Yes</t>
        </is>
      </c>
      <c r="D43" t="inlineStr">
        <is>
          <t>Man</t>
        </is>
      </c>
      <c r="E43" t="inlineStr">
        <is>
          <t>33–40</t>
        </is>
      </c>
      <c r="F43" t="inlineStr">
        <is>
          <t>Mumbai</t>
        </is>
      </c>
      <c r="G43" t="inlineStr">
        <is>
          <t>41–80</t>
        </is>
      </c>
      <c r="H43" t="inlineStr">
        <is>
          <t>Yes</t>
        </is>
      </c>
      <c r="I43" t="inlineStr">
        <is>
          <t>Most days</t>
        </is>
      </c>
      <c r="J43" t="inlineStr">
        <is>
          <t>I meant to buy it soon</t>
        </is>
      </c>
      <c r="K43" t="inlineStr">
        <is>
          <t>Yes</t>
        </is>
      </c>
      <c r="L43" t="inlineStr">
        <is>
          <t>I don’t know if it will fit me / this brand’s cut</t>
        </is>
      </c>
      <c r="M43" t="inlineStr">
        <is>
          <t>Fit on my body / height, Which size to pick</t>
        </is>
      </c>
      <c r="N43" t="inlineStr">
        <is>
          <t>A kept-vs-returned story from people my size and height, on the wishlist card, A suggested size that stays with the saved item (not only on the product page)</t>
        </is>
      </c>
      <c r="O43" t="inlineStr">
        <is>
          <t>How this sat on someone near my height, Whether people who wear my usual size kept it, Length / crop / rise for my height, Ethnic size vs my top size, labelled separately</t>
        </is>
      </c>
      <c r="P43" t="inlineStr">
        <is>
          <t>No</t>
        </is>
      </c>
      <c r="Q43" t="inlineStr">
        <is>
          <t>WhatsApp / send photos to friends or family, YouTube haul / try-on</t>
        </is>
      </c>
      <c r="R43" t="inlineStr">
        <is>
          <t>Only buy brands I have kept before, Read 50+ reviews on the product page, Ask a friend their size in that brand</t>
        </is>
      </c>
      <c r="S43" t="inlineStr">
        <is>
          <t>Yes</t>
        </is>
      </c>
      <c r="T43" t="inlineStr">
        <is>
          <t>5</t>
        </is>
      </c>
      <c r="U43" t="inlineStr">
        <is>
          <t>3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A shopping list I intend to buy from</t>
        </is>
      </c>
      <c r="Z43" t="inlineStr">
        <is>
          <t>Above 5'8"</t>
        </is>
      </c>
      <c r="AA43" t="inlineStr">
        <is>
          <t>M</t>
        </is>
      </c>
      <c r="AB43" t="inlineStr">
        <is>
          <t>No — ethnic runs different</t>
        </is>
      </c>
      <c r="AC43" t="inlineStr">
        <is>
          <t>Mostly casual / trends</t>
        </is>
      </c>
      <c r="AD43" t="inlineStr">
        <is>
          <t>Ethnic L is not my top M. The heart treats them as the same.</t>
        </is>
      </c>
      <c r="AE43">
        <f>IF(C43="","",IF(AND(D43="Woman",E43="24–32",OR(F43="Bengaluru",F43="Hyderabad",F43="Delhi",F43="Gurugram",F43="Noida",F43="Coimbatore"),OR(G43="15–40",G43="41–80",G43="81+"),H43="Yes",OR(I43="Most days",I43="About weekly")),"YES","NO"))</f>
        <v/>
      </c>
      <c r="AF43">
        <f>IF(L43="","",IF(ISNUMBER(SEARCH("fit",L43)),"fit",IF(ISNUMBER(SEARCH("return",L43))+ISNUMBER(SEARCH("seal",L43)),"return",IF(ISNUMBER(SEARCH("chart",L43)),"chart",IF(ISNUMBER(SEARCH("choose",L43)),"compare",IF(ISNUMBER(SEARCH("sale",L43)),"sale",IF(ISNUMBER(SEARCH("never",L43)),"bookmark",IF(ISNUMBER(SEARCH("mess",L43)),"clutter",IF(ISNUMBER(SEARCH("wear it",L43)),"occasion",IF(ISNUMBER(SEARCH("quality",L43)),"quality","other"))))))))))</f>
        <v/>
      </c>
      <c r="AG43">
        <f>IF(Q43="","",IF(OR(ISNUMBER(SEARCH("WhatsApp",Q43)),ISNUMBER(SEARCH("YouTube",Q43)),ISNUMBER(SEARCH("Instagram",Q43)),ISNUMBER(SEARCH("Google",Q43)),ISNUMBER(SEARCH("store",Q43)),ISNUMBER(SEARCH("two sizes",Q43))),"off_app","in_app"))</f>
        <v/>
      </c>
      <c r="AH43">
        <f>IF(N43="","",IF(ISNUMBER(SEARCH("coupon",N43))+ISNUMBER(SEARCH("sale",N43))+ISNUMBER(SEARCH("kept-vs-returned",N43))+ISNUMBER(SEARCH("sentence",N43))+ISNUMBER(SEARCH("stays with",N43))+ISNUMBER(SEARCH("side-by-side",N43)),IF(ISNUMBER(SEARCH("kept-vs-returned",N43))+ISNUMBER(SEARCH("sentence",N43))+ISNUMBER(SEARCH("stays with",N43))+ISNUMBER(SEARCH("side-by-side",N43)),"legal_present",IF(ISNUMBER(SEARCH("coupon",N43))+ISNUMBER(SEARCH("sale",N43)),"coupon_only","other")),"other"))</f>
        <v/>
      </c>
    </row>
    <row r="44" ht="18" customHeight="1">
      <c r="A44" t="inlineStr">
        <is>
          <t>8/16/2026 8:57:04</t>
        </is>
      </c>
      <c r="B44" t="inlineStr">
        <is>
          <t>Yes, continue</t>
        </is>
      </c>
      <c r="C44" t="inlineStr">
        <is>
          <t>Yes</t>
        </is>
      </c>
      <c r="D44" t="inlineStr">
        <is>
          <t>Woman</t>
        </is>
      </c>
      <c r="E44" t="inlineStr">
        <is>
          <t>24–32</t>
        </is>
      </c>
      <c r="F44" t="inlineStr">
        <is>
          <t>Coimbatore</t>
        </is>
      </c>
      <c r="G44" t="inlineStr">
        <is>
          <t>15–40</t>
        </is>
      </c>
      <c r="H44" t="inlineStr">
        <is>
          <t>Yes</t>
        </is>
      </c>
      <c r="I44" t="inlineStr">
        <is>
          <t>Most days</t>
        </is>
      </c>
      <c r="J44" t="inlineStr">
        <is>
          <t>Waiting for a sale or price drop</t>
        </is>
      </c>
      <c r="K44" t="inlineStr">
        <is>
          <t>Yes</t>
        </is>
      </c>
      <c r="L44" t="inlineStr">
        <is>
          <t>I’m waiting for a sale or discount</t>
        </is>
      </c>
      <c r="M44" t="inlineStr">
        <is>
          <t>Price, Whether I can return or exchange it</t>
        </is>
      </c>
      <c r="N44" t="inlineStr">
        <is>
          <t>A coupon or sale, A kept-vs-returned story from people my size and height, on the wishlist card, A suggested size that stays with the saved item (not only on the product page)</t>
        </is>
      </c>
      <c r="O44" t="inlineStr">
        <is>
          <t>How this sat on someone near my height, Return policy in words, not an icon</t>
        </is>
      </c>
      <c r="P44" t="inlineStr">
        <is>
          <t>Yes — but I may buy none</t>
        </is>
      </c>
      <c r="Q44" t="inlineStr">
        <is>
          <t>WhatsApp / send photos to friends or family, YouTube haul / try-on</t>
        </is>
      </c>
      <c r="R44" t="inlineStr">
        <is>
          <t>Only buy brands I have kept before, Read 50+ reviews on the product page, Wait for a sale so a failed return hurts less, Don’t buy — leave it wishlisted</t>
        </is>
      </c>
      <c r="S44" t="inlineStr">
        <is>
          <t>No</t>
        </is>
      </c>
      <c r="T44" t="inlineStr">
        <is>
          <t>3</t>
        </is>
      </c>
      <c r="U44" t="inlineStr">
        <is>
          <t>4</t>
        </is>
      </c>
      <c r="V44" t="inlineStr">
        <is>
          <t>5</t>
        </is>
      </c>
      <c r="W44" t="inlineStr">
        <is>
          <t>2</t>
        </is>
      </c>
      <c r="X44" t="inlineStr">
        <is>
          <t>4</t>
        </is>
      </c>
      <c r="Y44" t="inlineStr">
        <is>
          <t>A shopping list I intend to buy from</t>
        </is>
      </c>
      <c r="Z44" t="inlineStr">
        <is>
          <t>Above 5'8"</t>
        </is>
      </c>
      <c r="AA44" t="inlineStr">
        <is>
          <t>S</t>
        </is>
      </c>
      <c r="AB44" t="inlineStr">
        <is>
          <t>No — ethnic runs different</t>
        </is>
      </c>
      <c r="AC44" t="inlineStr">
        <is>
          <t>Mostly occasion / ethnic</t>
        </is>
      </c>
      <c r="AD44" t="inlineStr"/>
      <c r="AE44">
        <f>IF(C44="","",IF(AND(D44="Woman",E44="24–32",OR(F44="Bengaluru",F44="Hyderabad",F44="Delhi",F44="Gurugram",F44="Noida",F44="Coimbatore"),OR(G44="15–40",G44="41–80",G44="81+"),H44="Yes",OR(I44="Most days",I44="About weekly")),"YES","NO"))</f>
        <v/>
      </c>
      <c r="AF44">
        <f>IF(L44="","",IF(ISNUMBER(SEARCH("fit",L44)),"fit",IF(ISNUMBER(SEARCH("return",L44))+ISNUMBER(SEARCH("seal",L44)),"return",IF(ISNUMBER(SEARCH("chart",L44)),"chart",IF(ISNUMBER(SEARCH("choose",L44)),"compare",IF(ISNUMBER(SEARCH("sale",L44)),"sale",IF(ISNUMBER(SEARCH("never",L44)),"bookmark",IF(ISNUMBER(SEARCH("mess",L44)),"clutter",IF(ISNUMBER(SEARCH("wear it",L44)),"occasion",IF(ISNUMBER(SEARCH("quality",L44)),"quality","other"))))))))))</f>
        <v/>
      </c>
      <c r="AG44">
        <f>IF(Q44="","",IF(OR(ISNUMBER(SEARCH("WhatsApp",Q44)),ISNUMBER(SEARCH("YouTube",Q44)),ISNUMBER(SEARCH("Instagram",Q44)),ISNUMBER(SEARCH("Google",Q44)),ISNUMBER(SEARCH("store",Q44)),ISNUMBER(SEARCH("two sizes",Q44))),"off_app","in_app"))</f>
        <v/>
      </c>
      <c r="AH44">
        <f>IF(N44="","",IF(ISNUMBER(SEARCH("coupon",N44))+ISNUMBER(SEARCH("sale",N44))+ISNUMBER(SEARCH("kept-vs-returned",N44))+ISNUMBER(SEARCH("sentence",N44))+ISNUMBER(SEARCH("stays with",N44))+ISNUMBER(SEARCH("side-by-side",N44)),IF(ISNUMBER(SEARCH("kept-vs-returned",N44))+ISNUMBER(SEARCH("sentence",N44))+ISNUMBER(SEARCH("stays with",N44))+ISNUMBER(SEARCH("side-by-side",N44)),"legal_present",IF(ISNUMBER(SEARCH("coupon",N44))+ISNUMBER(SEARCH("sale",N44)),"coupon_only","other")),"other"))</f>
        <v/>
      </c>
    </row>
    <row r="45" ht="18" customHeight="1">
      <c r="A45" t="inlineStr">
        <is>
          <t>8/16/2026 9:27:00</t>
        </is>
      </c>
      <c r="B45" t="inlineStr">
        <is>
          <t>Yes, continue</t>
        </is>
      </c>
      <c r="C45" t="inlineStr">
        <is>
          <t>Yes</t>
        </is>
      </c>
      <c r="D45" t="inlineStr">
        <is>
          <t>Woman</t>
        </is>
      </c>
      <c r="E45" t="inlineStr">
        <is>
          <t>24–32</t>
        </is>
      </c>
      <c r="F45" t="inlineStr">
        <is>
          <t>Bengaluru</t>
        </is>
      </c>
      <c r="G45" t="inlineStr">
        <is>
          <t>15–40</t>
        </is>
      </c>
      <c r="H45" t="inlineStr">
        <is>
          <t>Yes</t>
        </is>
      </c>
      <c r="I45" t="inlineStr">
        <is>
          <t>About weekly</t>
        </is>
      </c>
      <c r="J45" t="inlineStr">
        <is>
          <t>I meant to buy it soon</t>
        </is>
      </c>
      <c r="K45" t="inlineStr">
        <is>
          <t>Yes</t>
        </is>
      </c>
      <c r="L45" t="inlineStr">
        <is>
          <t>I don’t know if it will fit me / this brand’s cut</t>
        </is>
      </c>
      <c r="M45" t="inlineStr">
        <is>
          <t>Fit on my body / height, Which size to pick, Whether I can return or exchange it</t>
        </is>
      </c>
      <c r="N45" t="inlineStr">
        <is>
          <t>A kept-vs-returned story from people my size and height, on the wishlist card, A suggested size that stays with the saved item (not only on the product page), Return / seal-tag / exchange-only written as a sentence on the card, A friend telling me to buy it</t>
        </is>
      </c>
      <c r="O45" t="inlineStr">
        <is>
          <t>How this sat on someone near my height, Whether people who wear my usual size kept it, Length / crop / rise for my height, Ethnic size vs my top size, labelled separately</t>
        </is>
      </c>
      <c r="P45" t="inlineStr">
        <is>
          <t>No</t>
        </is>
      </c>
      <c r="Q45" t="inlineStr">
        <is>
          <t>WhatsApp / send photos to friends or family, YouTube haul / try-on</t>
        </is>
      </c>
      <c r="R45" t="inlineStr">
        <is>
          <t>Only buy brands I have kept before, Read 50+ reviews on the product page, Ask a friend their size in that brand, Order two sizes</t>
        </is>
      </c>
      <c r="S45" t="inlineStr">
        <is>
          <t>Yes</t>
        </is>
      </c>
      <c r="T45" t="inlineStr">
        <is>
          <t>5</t>
        </is>
      </c>
      <c r="U45" t="inlineStr">
        <is>
          <t>3</t>
        </is>
      </c>
      <c r="V45" t="inlineStr">
        <is>
          <t>2</t>
        </is>
      </c>
      <c r="W45" t="inlineStr">
        <is>
          <t>2</t>
        </is>
      </c>
      <c r="X45" t="inlineStr">
        <is>
          <t>4</t>
        </is>
      </c>
      <c r="Y45" t="inlineStr">
        <is>
          <t>A shopping list I intend to buy from</t>
        </is>
      </c>
      <c r="Z45" t="inlineStr">
        <is>
          <t>5'2"–5'5"</t>
        </is>
      </c>
      <c r="AA45" t="inlineStr">
        <is>
          <t>M</t>
        </is>
      </c>
      <c r="AB45" t="inlineStr">
        <is>
          <t>I don’t buy ethnic on Myntra</t>
        </is>
      </c>
      <c r="AC45" t="inlineStr">
        <is>
          <t>Mostly workwear</t>
        </is>
      </c>
      <c r="AD45" t="inlineStr"/>
      <c r="AE45">
        <f>IF(C45="","",IF(AND(D45="Woman",E45="24–32",OR(F45="Bengaluru",F45="Hyderabad",F45="Delhi",F45="Gurugram",F45="Noida",F45="Coimbatore"),OR(G45="15–40",G45="41–80",G45="81+"),H45="Yes",OR(I45="Most days",I45="About weekly")),"YES","NO"))</f>
        <v/>
      </c>
      <c r="AF45">
        <f>IF(L45="","",IF(ISNUMBER(SEARCH("fit",L45)),"fit",IF(ISNUMBER(SEARCH("return",L45))+ISNUMBER(SEARCH("seal",L45)),"return",IF(ISNUMBER(SEARCH("chart",L45)),"chart",IF(ISNUMBER(SEARCH("choose",L45)),"compare",IF(ISNUMBER(SEARCH("sale",L45)),"sale",IF(ISNUMBER(SEARCH("never",L45)),"bookmark",IF(ISNUMBER(SEARCH("mess",L45)),"clutter",IF(ISNUMBER(SEARCH("wear it",L45)),"occasion",IF(ISNUMBER(SEARCH("quality",L45)),"quality","other"))))))))))</f>
        <v/>
      </c>
      <c r="AG45">
        <f>IF(Q45="","",IF(OR(ISNUMBER(SEARCH("WhatsApp",Q45)),ISNUMBER(SEARCH("YouTube",Q45)),ISNUMBER(SEARCH("Instagram",Q45)),ISNUMBER(SEARCH("Google",Q45)),ISNUMBER(SEARCH("store",Q45)),ISNUMBER(SEARCH("two sizes",Q45))),"off_app","in_app"))</f>
        <v/>
      </c>
      <c r="AH45">
        <f>IF(N45="","",IF(ISNUMBER(SEARCH("coupon",N45))+ISNUMBER(SEARCH("sale",N45))+ISNUMBER(SEARCH("kept-vs-returned",N45))+ISNUMBER(SEARCH("sentence",N45))+ISNUMBER(SEARCH("stays with",N45))+ISNUMBER(SEARCH("side-by-side",N45)),IF(ISNUMBER(SEARCH("kept-vs-returned",N45))+ISNUMBER(SEARCH("sentence",N45))+ISNUMBER(SEARCH("stays with",N45))+ISNUMBER(SEARCH("side-by-side",N45)),"legal_present",IF(ISNUMBER(SEARCH("coupon",N45))+ISNUMBER(SEARCH("sale",N45)),"coupon_only","other")),"other"))</f>
        <v/>
      </c>
    </row>
    <row r="46" ht="18" customHeight="1">
      <c r="A46" t="inlineStr">
        <is>
          <t>8/16/2026 18:22:25</t>
        </is>
      </c>
      <c r="B46" t="inlineStr">
        <is>
          <t>Yes, continue</t>
        </is>
      </c>
      <c r="C46" t="inlineStr">
        <is>
          <t>Yes</t>
        </is>
      </c>
      <c r="D46" t="inlineStr">
        <is>
          <t>Man</t>
        </is>
      </c>
      <c r="E46" t="inlineStr">
        <is>
          <t>24–32</t>
        </is>
      </c>
      <c r="F46" t="inlineStr">
        <is>
          <t>Hyderabad</t>
        </is>
      </c>
      <c r="G46" t="inlineStr">
        <is>
          <t>15–40</t>
        </is>
      </c>
      <c r="H46" t="inlineStr">
        <is>
          <t>Yes</t>
        </is>
      </c>
      <c r="I46" t="inlineStr">
        <is>
          <t>About weekly</t>
        </is>
      </c>
      <c r="J46" t="inlineStr">
        <is>
          <t>I meant to buy it soon</t>
        </is>
      </c>
      <c r="K46" t="inlineStr">
        <is>
          <t>Yes</t>
        </is>
      </c>
      <c r="L46" t="inlineStr">
        <is>
          <t>I don’t know if it will fit me / this brand’s cut</t>
        </is>
      </c>
      <c r="M46" t="inlineStr">
        <is>
          <t>Fit on my body / height, Which size to pick</t>
        </is>
      </c>
      <c r="N46" t="inlineStr">
        <is>
          <t>A kept-vs-returned story from people my size and height, on the wishlist card, A suggested size that stays with the saved item (not only on the product page)</t>
        </is>
      </c>
      <c r="O46" t="inlineStr">
        <is>
          <t>How this sat on someone near my height, Whether people who wear my usual size kept it, Length / crop / rise for my height</t>
        </is>
      </c>
      <c r="P46" t="inlineStr">
        <is>
          <t>No</t>
        </is>
      </c>
      <c r="Q46" t="inlineStr">
        <is>
          <t>WhatsApp / send photos to friends or family, YouTube haul / try-on, Order two sizes and return one (or used to)</t>
        </is>
      </c>
      <c r="R46" t="inlineStr">
        <is>
          <t>Only buy brands I have kept before, Read 50+ reviews on the product page, Ask a friend their size in that brand</t>
        </is>
      </c>
      <c r="S46" t="inlineStr">
        <is>
          <t>Yes</t>
        </is>
      </c>
      <c r="T46" t="inlineStr">
        <is>
          <t>5</t>
        </is>
      </c>
      <c r="U46" t="inlineStr">
        <is>
          <t>3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A shopping list I intend to buy from</t>
        </is>
      </c>
      <c r="Z46" t="inlineStr">
        <is>
          <t>5'2"–5'5"</t>
        </is>
      </c>
      <c r="AA46" t="inlineStr">
        <is>
          <t>L</t>
        </is>
      </c>
      <c r="AB46" t="inlineStr">
        <is>
          <t>Yes, same letter</t>
        </is>
      </c>
      <c r="AC46" t="inlineStr">
        <is>
          <t>Mix of workwear and occasion</t>
        </is>
      </c>
      <c r="AD46" t="inlineStr">
        <is>
          <t>Office trousers: rise and thigh. Wishlist has neither.</t>
        </is>
      </c>
      <c r="AE46">
        <f>IF(C46="","",IF(AND(D46="Woman",E46="24–32",OR(F46="Bengaluru",F46="Hyderabad",F46="Delhi",F46="Gurugram",F46="Noida",F46="Coimbatore"),OR(G46="15–40",G46="41–80",G46="81+"),H46="Yes",OR(I46="Most days",I46="About weekly")),"YES","NO"))</f>
        <v/>
      </c>
      <c r="AF46">
        <f>IF(L46="","",IF(ISNUMBER(SEARCH("fit",L46)),"fit",IF(ISNUMBER(SEARCH("return",L46))+ISNUMBER(SEARCH("seal",L46)),"return",IF(ISNUMBER(SEARCH("chart",L46)),"chart",IF(ISNUMBER(SEARCH("choose",L46)),"compare",IF(ISNUMBER(SEARCH("sale",L46)),"sale",IF(ISNUMBER(SEARCH("never",L46)),"bookmark",IF(ISNUMBER(SEARCH("mess",L46)),"clutter",IF(ISNUMBER(SEARCH("wear it",L46)),"occasion",IF(ISNUMBER(SEARCH("quality",L46)),"quality","other"))))))))))</f>
        <v/>
      </c>
      <c r="AG46">
        <f>IF(Q46="","",IF(OR(ISNUMBER(SEARCH("WhatsApp",Q46)),ISNUMBER(SEARCH("YouTube",Q46)),ISNUMBER(SEARCH("Instagram",Q46)),ISNUMBER(SEARCH("Google",Q46)),ISNUMBER(SEARCH("store",Q46)),ISNUMBER(SEARCH("two sizes",Q46))),"off_app","in_app"))</f>
        <v/>
      </c>
      <c r="AH46">
        <f>IF(N46="","",IF(ISNUMBER(SEARCH("coupon",N46))+ISNUMBER(SEARCH("sale",N46))+ISNUMBER(SEARCH("kept-vs-returned",N46))+ISNUMBER(SEARCH("sentence",N46))+ISNUMBER(SEARCH("stays with",N46))+ISNUMBER(SEARCH("side-by-side",N46)),IF(ISNUMBER(SEARCH("kept-vs-returned",N46))+ISNUMBER(SEARCH("sentence",N46))+ISNUMBER(SEARCH("stays with",N46))+ISNUMBER(SEARCH("side-by-side",N46)),"legal_present",IF(ISNUMBER(SEARCH("coupon",N46))+ISNUMBER(SEARCH("sale",N46)),"coupon_only","other")),"other"))</f>
        <v/>
      </c>
    </row>
    <row r="47" ht="18" customHeight="1">
      <c r="A47" t="inlineStr">
        <is>
          <t>8/16/2026 18:39:43</t>
        </is>
      </c>
      <c r="B47" t="inlineStr">
        <is>
          <t>Yes, continue</t>
        </is>
      </c>
      <c r="C47" t="inlineStr">
        <is>
          <t>Yes</t>
        </is>
      </c>
      <c r="D47" t="inlineStr">
        <is>
          <t>Woman</t>
        </is>
      </c>
      <c r="E47" t="inlineStr">
        <is>
          <t>24–32</t>
        </is>
      </c>
      <c r="F47" t="inlineStr">
        <is>
          <t>Hyderabad</t>
        </is>
      </c>
      <c r="G47" t="inlineStr">
        <is>
          <t>41–80</t>
        </is>
      </c>
      <c r="H47" t="inlineStr">
        <is>
          <t>Yes</t>
        </is>
      </c>
      <c r="I47" t="inlineStr">
        <is>
          <t>Most days</t>
        </is>
      </c>
      <c r="J47" t="inlineStr">
        <is>
          <t>I meant to buy it soon</t>
        </is>
      </c>
      <c r="K47" t="inlineStr">
        <is>
          <t>Maybe</t>
        </is>
      </c>
      <c r="L47" t="inlineStr">
        <is>
          <t>I don’t trust the size chart</t>
        </is>
      </c>
      <c r="M47" t="inlineStr">
        <is>
          <t>Which size to pick, Fit on my body / height</t>
        </is>
      </c>
      <c r="N47" t="inlineStr">
        <is>
          <t>A kept-vs-returned story from people my size and height, on the wishlist card, A suggested size that stays with the saved item (not only on the product page), Return / seal-tag / exchange-only written as a sentence on the card</t>
        </is>
      </c>
      <c r="O47" t="inlineStr">
        <is>
          <t>How this sat on someone near my height, Whether people who wear my usual size kept it, Length / crop / rise for my height</t>
        </is>
      </c>
      <c r="P47" t="inlineStr">
        <is>
          <t>No</t>
        </is>
      </c>
      <c r="Q47" t="inlineStr">
        <is>
          <t>WhatsApp / send photos to friends or family, YouTube haul / try-on, Instagram</t>
        </is>
      </c>
      <c r="R47" t="inlineStr">
        <is>
          <t>Only buy brands I have kept before, Read 50+ reviews on the product page, Ask a friend their size in that brand, Don’t buy — leave it wishlisted</t>
        </is>
      </c>
      <c r="S47" t="inlineStr">
        <is>
          <t>Yes</t>
        </is>
      </c>
      <c r="T47" t="inlineStr">
        <is>
          <t>5</t>
        </is>
      </c>
      <c r="U47" t="inlineStr">
        <is>
          <t>3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A mix</t>
        </is>
      </c>
      <c r="Z47" t="inlineStr">
        <is>
          <t>5'2"–5'5"</t>
        </is>
      </c>
      <c r="AA47" t="inlineStr">
        <is>
          <t>M</t>
        </is>
      </c>
      <c r="AB47" t="inlineStr">
        <is>
          <t>No — ethnic runs different</t>
        </is>
      </c>
      <c r="AC47" t="inlineStr">
        <is>
          <t>Mix of workwear and occasion</t>
        </is>
      </c>
      <c r="AD47" t="inlineStr"/>
      <c r="AE47">
        <f>IF(C47="","",IF(AND(D47="Woman",E47="24–32",OR(F47="Bengaluru",F47="Hyderabad",F47="Delhi",F47="Gurugram",F47="Noida",F47="Coimbatore"),OR(G47="15–40",G47="41–80",G47="81+"),H47="Yes",OR(I47="Most days",I47="About weekly")),"YES","NO"))</f>
        <v/>
      </c>
      <c r="AF47">
        <f>IF(L47="","",IF(ISNUMBER(SEARCH("fit",L47)),"fit",IF(ISNUMBER(SEARCH("return",L47))+ISNUMBER(SEARCH("seal",L47)),"return",IF(ISNUMBER(SEARCH("chart",L47)),"chart",IF(ISNUMBER(SEARCH("choose",L47)),"compare",IF(ISNUMBER(SEARCH("sale",L47)),"sale",IF(ISNUMBER(SEARCH("never",L47)),"bookmark",IF(ISNUMBER(SEARCH("mess",L47)),"clutter",IF(ISNUMBER(SEARCH("wear it",L47)),"occasion",IF(ISNUMBER(SEARCH("quality",L47)),"quality","other"))))))))))</f>
        <v/>
      </c>
      <c r="AG47">
        <f>IF(Q47="","",IF(OR(ISNUMBER(SEARCH("WhatsApp",Q47)),ISNUMBER(SEARCH("YouTube",Q47)),ISNUMBER(SEARCH("Instagram",Q47)),ISNUMBER(SEARCH("Google",Q47)),ISNUMBER(SEARCH("store",Q47)),ISNUMBER(SEARCH("two sizes",Q47))),"off_app","in_app"))</f>
        <v/>
      </c>
      <c r="AH47">
        <f>IF(N47="","",IF(ISNUMBER(SEARCH("coupon",N47))+ISNUMBER(SEARCH("sale",N47))+ISNUMBER(SEARCH("kept-vs-returned",N47))+ISNUMBER(SEARCH("sentence",N47))+ISNUMBER(SEARCH("stays with",N47))+ISNUMBER(SEARCH("side-by-side",N47)),IF(ISNUMBER(SEARCH("kept-vs-returned",N47))+ISNUMBER(SEARCH("sentence",N47))+ISNUMBER(SEARCH("stays with",N47))+ISNUMBER(SEARCH("side-by-side",N47)),"legal_present",IF(ISNUMBER(SEARCH("coupon",N47))+ISNUMBER(SEARCH("sale",N47)),"coupon_only","other")),"other"))</f>
        <v/>
      </c>
    </row>
    <row r="48" ht="18" customHeight="1">
      <c r="A48" t="inlineStr">
        <is>
          <t>8/17/2026 11:13:20</t>
        </is>
      </c>
      <c r="B48" t="inlineStr">
        <is>
          <t>Yes, continue</t>
        </is>
      </c>
      <c r="C48" t="inlineStr">
        <is>
          <t>Yes</t>
        </is>
      </c>
      <c r="D48" t="inlineStr">
        <is>
          <t>Woman</t>
        </is>
      </c>
      <c r="E48" t="inlineStr">
        <is>
          <t>24–32</t>
        </is>
      </c>
      <c r="F48" t="inlineStr">
        <is>
          <t>Hyderabad</t>
        </is>
      </c>
      <c r="G48" t="inlineStr">
        <is>
          <t>41–80</t>
        </is>
      </c>
      <c r="H48" t="inlineStr">
        <is>
          <t>Yes</t>
        </is>
      </c>
      <c r="I48" t="inlineStr">
        <is>
          <t>About weekly</t>
        </is>
      </c>
      <c r="J48" t="inlineStr">
        <is>
          <t>I meant to buy it soon</t>
        </is>
      </c>
      <c r="K48" t="inlineStr">
        <is>
          <t>Maybe</t>
        </is>
      </c>
      <c r="L48" t="inlineStr">
        <is>
          <t>I don’t trust the size chart</t>
        </is>
      </c>
      <c r="M48" t="inlineStr">
        <is>
          <t>Which size to pick, Fit on my body / height</t>
        </is>
      </c>
      <c r="N48" t="inlineStr">
        <is>
          <t>A kept-vs-returned story from people my size and height, on the wishlist card, A suggested size that stays with the saved item (not only on the product page)</t>
        </is>
      </c>
      <c r="O48" t="inlineStr">
        <is>
          <t>How this sat on someone near my height, Whether people who wear my usual size kept it, Length / crop / rise for my height, Ethnic size vs my top size, labelled separately</t>
        </is>
      </c>
      <c r="P48" t="inlineStr">
        <is>
          <t>Yes — I will buy one of them</t>
        </is>
      </c>
      <c r="Q48" t="inlineStr">
        <is>
          <t>WhatsApp / send photos to friends or family, YouTube haul / try-on, Visit a store to touch fabric or try a similar cut, Order two sizes and return one (or used to)</t>
        </is>
      </c>
      <c r="R48" t="inlineStr">
        <is>
          <t>Only buy brands I have kept before, Read 50+ reviews on the product page, Ask a friend their size in that brand, Don’t buy — leave it wishlisted</t>
        </is>
      </c>
      <c r="S48" t="inlineStr">
        <is>
          <t>Yes</t>
        </is>
      </c>
      <c r="T48" t="inlineStr">
        <is>
          <t>5</t>
        </is>
      </c>
      <c r="U48" t="inlineStr">
        <is>
          <t>3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A mix</t>
        </is>
      </c>
      <c r="Z48" t="inlineStr">
        <is>
          <t>5'2"–5'5"</t>
        </is>
      </c>
      <c r="AA48" t="inlineStr">
        <is>
          <t>M</t>
        </is>
      </c>
      <c r="AB48" t="inlineStr">
        <is>
          <t>No — ethnic runs different</t>
        </is>
      </c>
      <c r="AC48" t="inlineStr">
        <is>
          <t>Mostly occasion / ethnic</t>
        </is>
      </c>
      <c r="AD48" t="inlineStr"/>
      <c r="AE48">
        <f>IF(C48="","",IF(AND(D48="Woman",E48="24–32",OR(F48="Bengaluru",F48="Hyderabad",F48="Delhi",F48="Gurugram",F48="Noida",F48="Coimbatore"),OR(G48="15–40",G48="41–80",G48="81+"),H48="Yes",OR(I48="Most days",I48="About weekly")),"YES","NO"))</f>
        <v/>
      </c>
      <c r="AF48">
        <f>IF(L48="","",IF(ISNUMBER(SEARCH("fit",L48)),"fit",IF(ISNUMBER(SEARCH("return",L48))+ISNUMBER(SEARCH("seal",L48)),"return",IF(ISNUMBER(SEARCH("chart",L48)),"chart",IF(ISNUMBER(SEARCH("choose",L48)),"compare",IF(ISNUMBER(SEARCH("sale",L48)),"sale",IF(ISNUMBER(SEARCH("never",L48)),"bookmark",IF(ISNUMBER(SEARCH("mess",L48)),"clutter",IF(ISNUMBER(SEARCH("wear it",L48)),"occasion",IF(ISNUMBER(SEARCH("quality",L48)),"quality","other"))))))))))</f>
        <v/>
      </c>
      <c r="AG48">
        <f>IF(Q48="","",IF(OR(ISNUMBER(SEARCH("WhatsApp",Q48)),ISNUMBER(SEARCH("YouTube",Q48)),ISNUMBER(SEARCH("Instagram",Q48)),ISNUMBER(SEARCH("Google",Q48)),ISNUMBER(SEARCH("store",Q48)),ISNUMBER(SEARCH("two sizes",Q48))),"off_app","in_app"))</f>
        <v/>
      </c>
      <c r="AH48">
        <f>IF(N48="","",IF(ISNUMBER(SEARCH("coupon",N48))+ISNUMBER(SEARCH("sale",N48))+ISNUMBER(SEARCH("kept-vs-returned",N48))+ISNUMBER(SEARCH("sentence",N48))+ISNUMBER(SEARCH("stays with",N48))+ISNUMBER(SEARCH("side-by-side",N48)),IF(ISNUMBER(SEARCH("kept-vs-returned",N48))+ISNUMBER(SEARCH("sentence",N48))+ISNUMBER(SEARCH("stays with",N48))+ISNUMBER(SEARCH("side-by-side",N48)),"legal_present",IF(ISNUMBER(SEARCH("coupon",N48))+ISNUMBER(SEARCH("sale",N48)),"coupon_only","other")),"other"))</f>
        <v/>
      </c>
    </row>
    <row r="49" ht="18" customHeight="1">
      <c r="A49" t="inlineStr">
        <is>
          <t>8/17/2026 12:21:07</t>
        </is>
      </c>
      <c r="B49" t="inlineStr">
        <is>
          <t>Yes, continue</t>
        </is>
      </c>
      <c r="C49" t="inlineStr">
        <is>
          <t>Yes</t>
        </is>
      </c>
      <c r="D49" t="inlineStr">
        <is>
          <t>Woman</t>
        </is>
      </c>
      <c r="E49" t="inlineStr">
        <is>
          <t>24–32</t>
        </is>
      </c>
      <c r="F49" t="inlineStr">
        <is>
          <t>Delhi</t>
        </is>
      </c>
      <c r="G49" t="inlineStr">
        <is>
          <t>41–80</t>
        </is>
      </c>
      <c r="H49" t="inlineStr">
        <is>
          <t>Yes</t>
        </is>
      </c>
      <c r="I49" t="inlineStr">
        <is>
          <t>About weekly</t>
        </is>
      </c>
      <c r="J49" t="inlineStr">
        <is>
          <t>I meant to buy it soon</t>
        </is>
      </c>
      <c r="K49" t="inlineStr">
        <is>
          <t>Yes</t>
        </is>
      </c>
      <c r="L49" t="inlineStr">
        <is>
          <t>I don’t know if it will fit me / this brand’s cut</t>
        </is>
      </c>
      <c r="M49" t="inlineStr">
        <is>
          <t>Fit on my body / height, Which size to pick, Whether I can return or exchange it</t>
        </is>
      </c>
      <c r="N49" t="inlineStr">
        <is>
          <t>A kept-vs-returned story from people my size and height, on the wishlist card, A suggested size that stays with the saved item (not only on the product page)</t>
        </is>
      </c>
      <c r="O49" t="inlineStr">
        <is>
          <t>How this sat on someone near my height, Whether people who wear my usual size kept it, Length / crop / rise for my height</t>
        </is>
      </c>
      <c r="P49" t="inlineStr">
        <is>
          <t>Yes — I will buy one of them</t>
        </is>
      </c>
      <c r="Q49" t="inlineStr">
        <is>
          <t>WhatsApp / send photos to friends or family, YouTube haul / try-on, Visit a store to touch fabric or try a similar cut</t>
        </is>
      </c>
      <c r="R49" t="inlineStr">
        <is>
          <t>Only buy brands I have kept before, Read 50+ reviews on the product page, Don’t buy — leave it wishlisted</t>
        </is>
      </c>
      <c r="S49" t="inlineStr">
        <is>
          <t>Yes</t>
        </is>
      </c>
      <c r="T49" t="inlineStr">
        <is>
          <t>5</t>
        </is>
      </c>
      <c r="U49" t="inlineStr">
        <is>
          <t>3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A shopping list I intend to buy from</t>
        </is>
      </c>
      <c r="Z49" t="inlineStr">
        <is>
          <t>5'2"–5'5"</t>
        </is>
      </c>
      <c r="AA49" t="inlineStr">
        <is>
          <t>M</t>
        </is>
      </c>
      <c r="AB49" t="inlineStr">
        <is>
          <t>Yes, same letter</t>
        </is>
      </c>
      <c r="AC49" t="inlineStr">
        <is>
          <t>Mostly occasion / ethnic</t>
        </is>
      </c>
      <c r="AD49" t="inlineStr">
        <is>
          <t>Between M and L. I postpone until I feel sure. I never feel sure.</t>
        </is>
      </c>
      <c r="AE49">
        <f>IF(C49="","",IF(AND(D49="Woman",E49="24–32",OR(F49="Bengaluru",F49="Hyderabad",F49="Delhi",F49="Gurugram",F49="Noida",F49="Coimbatore"),OR(G49="15–40",G49="41–80",G49="81+"),H49="Yes",OR(I49="Most days",I49="About weekly")),"YES","NO"))</f>
        <v/>
      </c>
      <c r="AF49">
        <f>IF(L49="","",IF(ISNUMBER(SEARCH("fit",L49)),"fit",IF(ISNUMBER(SEARCH("return",L49))+ISNUMBER(SEARCH("seal",L49)),"return",IF(ISNUMBER(SEARCH("chart",L49)),"chart",IF(ISNUMBER(SEARCH("choose",L49)),"compare",IF(ISNUMBER(SEARCH("sale",L49)),"sale",IF(ISNUMBER(SEARCH("never",L49)),"bookmark",IF(ISNUMBER(SEARCH("mess",L49)),"clutter",IF(ISNUMBER(SEARCH("wear it",L49)),"occasion",IF(ISNUMBER(SEARCH("quality",L49)),"quality","other"))))))))))</f>
        <v/>
      </c>
      <c r="AG49">
        <f>IF(Q49="","",IF(OR(ISNUMBER(SEARCH("WhatsApp",Q49)),ISNUMBER(SEARCH("YouTube",Q49)),ISNUMBER(SEARCH("Instagram",Q49)),ISNUMBER(SEARCH("Google",Q49)),ISNUMBER(SEARCH("store",Q49)),ISNUMBER(SEARCH("two sizes",Q49))),"off_app","in_app"))</f>
        <v/>
      </c>
      <c r="AH49">
        <f>IF(N49="","",IF(ISNUMBER(SEARCH("coupon",N49))+ISNUMBER(SEARCH("sale",N49))+ISNUMBER(SEARCH("kept-vs-returned",N49))+ISNUMBER(SEARCH("sentence",N49))+ISNUMBER(SEARCH("stays with",N49))+ISNUMBER(SEARCH("side-by-side",N49)),IF(ISNUMBER(SEARCH("kept-vs-returned",N49))+ISNUMBER(SEARCH("sentence",N49))+ISNUMBER(SEARCH("stays with",N49))+ISNUMBER(SEARCH("side-by-side",N49)),"legal_present",IF(ISNUMBER(SEARCH("coupon",N49))+ISNUMBER(SEARCH("sale",N49)),"coupon_only","other")),"other"))</f>
        <v/>
      </c>
    </row>
    <row r="50" ht="18" customHeight="1">
      <c r="AE50">
        <f>IF(C50="","",IF(AND(D50="Woman",E50="24–32",OR(F50="Bengaluru",F50="Hyderabad",F50="Delhi",F50="Gurugram",F50="Noida",F50="Coimbatore"),OR(G50="15–40",G50="41–80",G50="81+"),H50="Yes",OR(I50="Most days",I50="About weekly")),"YES","NO"))</f>
        <v/>
      </c>
      <c r="AF50">
        <f>IF(L50="","",IF(ISNUMBER(SEARCH("fit",L50)),"fit",IF(ISNUMBER(SEARCH("return",L50))+ISNUMBER(SEARCH("seal",L50)),"return",IF(ISNUMBER(SEARCH("chart",L50)),"chart",IF(ISNUMBER(SEARCH("choose",L50)),"compare",IF(ISNUMBER(SEARCH("sale",L50)),"sale",IF(ISNUMBER(SEARCH("never",L50)),"bookmark",IF(ISNUMBER(SEARCH("mess",L50)),"clutter",IF(ISNUMBER(SEARCH("wear it",L50)),"occasion",IF(ISNUMBER(SEARCH("quality",L50)),"quality","other"))))))))))</f>
        <v/>
      </c>
      <c r="AG50">
        <f>IF(Q50="","",IF(OR(ISNUMBER(SEARCH("WhatsApp",Q50)),ISNUMBER(SEARCH("YouTube",Q50)),ISNUMBER(SEARCH("Instagram",Q50)),ISNUMBER(SEARCH("Google",Q50)),ISNUMBER(SEARCH("store",Q50)),ISNUMBER(SEARCH("two sizes",Q50))),"off_app","in_app"))</f>
        <v/>
      </c>
      <c r="AH50">
        <f>IF(N50="","",IF(ISNUMBER(SEARCH("coupon",N50))+ISNUMBER(SEARCH("sale",N50))+ISNUMBER(SEARCH("kept-vs-returned",N50))+ISNUMBER(SEARCH("sentence",N50))+ISNUMBER(SEARCH("stays with",N50))+ISNUMBER(SEARCH("side-by-side",N50)),IF(ISNUMBER(SEARCH("kept-vs-returned",N50))+ISNUMBER(SEARCH("sentence",N50))+ISNUMBER(SEARCH("stays with",N50))+ISNUMBER(SEARCH("side-by-side",N50)),"legal_present",IF(ISNUMBER(SEARCH("coupon",N50))+ISNUMBER(SEARCH("sale",N50)),"coupon_only","other")),"other"))</f>
        <v/>
      </c>
    </row>
    <row r="51" ht="18" customHeight="1">
      <c r="AE51">
        <f>IF(C51="","",IF(AND(D51="Woman",E51="24–32",OR(F51="Bengaluru",F51="Hyderabad",F51="Delhi",F51="Gurugram",F51="Noida",F51="Coimbatore"),OR(G51="15–40",G51="41–80",G51="81+"),H51="Yes",OR(I51="Most days",I51="About weekly")),"YES","NO"))</f>
        <v/>
      </c>
      <c r="AF51">
        <f>IF(L51="","",IF(ISNUMBER(SEARCH("fit",L51)),"fit",IF(ISNUMBER(SEARCH("return",L51))+ISNUMBER(SEARCH("seal",L51)),"return",IF(ISNUMBER(SEARCH("chart",L51)),"chart",IF(ISNUMBER(SEARCH("choose",L51)),"compare",IF(ISNUMBER(SEARCH("sale",L51)),"sale",IF(ISNUMBER(SEARCH("never",L51)),"bookmark",IF(ISNUMBER(SEARCH("mess",L51)),"clutter",IF(ISNUMBER(SEARCH("wear it",L51)),"occasion",IF(ISNUMBER(SEARCH("quality",L51)),"quality","other"))))))))))</f>
        <v/>
      </c>
      <c r="AG51">
        <f>IF(Q51="","",IF(OR(ISNUMBER(SEARCH("WhatsApp",Q51)),ISNUMBER(SEARCH("YouTube",Q51)),ISNUMBER(SEARCH("Instagram",Q51)),ISNUMBER(SEARCH("Google",Q51)),ISNUMBER(SEARCH("store",Q51)),ISNUMBER(SEARCH("two sizes",Q51))),"off_app","in_app"))</f>
        <v/>
      </c>
      <c r="AH51">
        <f>IF(N51="","",IF(ISNUMBER(SEARCH("coupon",N51))+ISNUMBER(SEARCH("sale",N51))+ISNUMBER(SEARCH("kept-vs-returned",N51))+ISNUMBER(SEARCH("sentence",N51))+ISNUMBER(SEARCH("stays with",N51))+ISNUMBER(SEARCH("side-by-side",N51)),IF(ISNUMBER(SEARCH("kept-vs-returned",N51))+ISNUMBER(SEARCH("sentence",N51))+ISNUMBER(SEARCH("stays with",N51))+ISNUMBER(SEARCH("side-by-side",N51)),"legal_present",IF(ISNUMBER(SEARCH("coupon",N51))+ISNUMBER(SEARCH("sale",N51)),"coupon_only","other")),"other"))</f>
        <v/>
      </c>
    </row>
    <row r="52" ht="18" customHeight="1">
      <c r="AE52">
        <f>IF(C52="","",IF(AND(D52="Woman",E52="24–32",OR(F52="Bengaluru",F52="Hyderabad",F52="Delhi",F52="Gurugram",F52="Noida",F52="Coimbatore"),OR(G52="15–40",G52="41–80",G52="81+"),H52="Yes",OR(I52="Most days",I52="About weekly")),"YES","NO"))</f>
        <v/>
      </c>
      <c r="AF52">
        <f>IF(L52="","",IF(ISNUMBER(SEARCH("fit",L52)),"fit",IF(ISNUMBER(SEARCH("return",L52))+ISNUMBER(SEARCH("seal",L52)),"return",IF(ISNUMBER(SEARCH("chart",L52)),"chart",IF(ISNUMBER(SEARCH("choose",L52)),"compare",IF(ISNUMBER(SEARCH("sale",L52)),"sale",IF(ISNUMBER(SEARCH("never",L52)),"bookmark",IF(ISNUMBER(SEARCH("mess",L52)),"clutter",IF(ISNUMBER(SEARCH("wear it",L52)),"occasion",IF(ISNUMBER(SEARCH("quality",L52)),"quality","other"))))))))))</f>
        <v/>
      </c>
      <c r="AG52">
        <f>IF(Q52="","",IF(OR(ISNUMBER(SEARCH("WhatsApp",Q52)),ISNUMBER(SEARCH("YouTube",Q52)),ISNUMBER(SEARCH("Instagram",Q52)),ISNUMBER(SEARCH("Google",Q52)),ISNUMBER(SEARCH("store",Q52)),ISNUMBER(SEARCH("two sizes",Q52))),"off_app","in_app"))</f>
        <v/>
      </c>
      <c r="AH52">
        <f>IF(N52="","",IF(ISNUMBER(SEARCH("coupon",N52))+ISNUMBER(SEARCH("sale",N52))+ISNUMBER(SEARCH("kept-vs-returned",N52))+ISNUMBER(SEARCH("sentence",N52))+ISNUMBER(SEARCH("stays with",N52))+ISNUMBER(SEARCH("side-by-side",N52)),IF(ISNUMBER(SEARCH("kept-vs-returned",N52))+ISNUMBER(SEARCH("sentence",N52))+ISNUMBER(SEARCH("stays with",N52))+ISNUMBER(SEARCH("side-by-side",N52)),"legal_present",IF(ISNUMBER(SEARCH("coupon",N52))+ISNUMBER(SEARCH("sale",N52)),"coupon_only","other")),"other"))</f>
        <v/>
      </c>
    </row>
    <row r="53" ht="18" customHeight="1">
      <c r="AE53">
        <f>IF(C53="","",IF(AND(D53="Woman",E53="24–32",OR(F53="Bengaluru",F53="Hyderabad",F53="Delhi",F53="Gurugram",F53="Noida",F53="Coimbatore"),OR(G53="15–40",G53="41–80",G53="81+"),H53="Yes",OR(I53="Most days",I53="About weekly")),"YES","NO"))</f>
        <v/>
      </c>
      <c r="AF53">
        <f>IF(L53="","",IF(ISNUMBER(SEARCH("fit",L53)),"fit",IF(ISNUMBER(SEARCH("return",L53))+ISNUMBER(SEARCH("seal",L53)),"return",IF(ISNUMBER(SEARCH("chart",L53)),"chart",IF(ISNUMBER(SEARCH("choose",L53)),"compare",IF(ISNUMBER(SEARCH("sale",L53)),"sale",IF(ISNUMBER(SEARCH("never",L53)),"bookmark",IF(ISNUMBER(SEARCH("mess",L53)),"clutter",IF(ISNUMBER(SEARCH("wear it",L53)),"occasion",IF(ISNUMBER(SEARCH("quality",L53)),"quality","other"))))))))))</f>
        <v/>
      </c>
      <c r="AG53">
        <f>IF(Q53="","",IF(OR(ISNUMBER(SEARCH("WhatsApp",Q53)),ISNUMBER(SEARCH("YouTube",Q53)),ISNUMBER(SEARCH("Instagram",Q53)),ISNUMBER(SEARCH("Google",Q53)),ISNUMBER(SEARCH("store",Q53)),ISNUMBER(SEARCH("two sizes",Q53))),"off_app","in_app"))</f>
        <v/>
      </c>
      <c r="AH53">
        <f>IF(N53="","",IF(ISNUMBER(SEARCH("coupon",N53))+ISNUMBER(SEARCH("sale",N53))+ISNUMBER(SEARCH("kept-vs-returned",N53))+ISNUMBER(SEARCH("sentence",N53))+ISNUMBER(SEARCH("stays with",N53))+ISNUMBER(SEARCH("side-by-side",N53)),IF(ISNUMBER(SEARCH("kept-vs-returned",N53))+ISNUMBER(SEARCH("sentence",N53))+ISNUMBER(SEARCH("stays with",N53))+ISNUMBER(SEARCH("side-by-side",N53)),"legal_present",IF(ISNUMBER(SEARCH("coupon",N53))+ISNUMBER(SEARCH("sale",N53)),"coupon_only","other")),"other"))</f>
        <v/>
      </c>
    </row>
    <row r="54" ht="18" customHeight="1">
      <c r="AE54">
        <f>IF(C54="","",IF(AND(D54="Woman",E54="24–32",OR(F54="Bengaluru",F54="Hyderabad",F54="Delhi",F54="Gurugram",F54="Noida",F54="Coimbatore"),OR(G54="15–40",G54="41–80",G54="81+"),H54="Yes",OR(I54="Most days",I54="About weekly")),"YES","NO"))</f>
        <v/>
      </c>
      <c r="AF54">
        <f>IF(L54="","",IF(ISNUMBER(SEARCH("fit",L54)),"fit",IF(ISNUMBER(SEARCH("return",L54))+ISNUMBER(SEARCH("seal",L54)),"return",IF(ISNUMBER(SEARCH("chart",L54)),"chart",IF(ISNUMBER(SEARCH("choose",L54)),"compare",IF(ISNUMBER(SEARCH("sale",L54)),"sale",IF(ISNUMBER(SEARCH("never",L54)),"bookmark",IF(ISNUMBER(SEARCH("mess",L54)),"clutter",IF(ISNUMBER(SEARCH("wear it",L54)),"occasion",IF(ISNUMBER(SEARCH("quality",L54)),"quality","other"))))))))))</f>
        <v/>
      </c>
      <c r="AG54">
        <f>IF(Q54="","",IF(OR(ISNUMBER(SEARCH("WhatsApp",Q54)),ISNUMBER(SEARCH("YouTube",Q54)),ISNUMBER(SEARCH("Instagram",Q54)),ISNUMBER(SEARCH("Google",Q54)),ISNUMBER(SEARCH("store",Q54)),ISNUMBER(SEARCH("two sizes",Q54))),"off_app","in_app"))</f>
        <v/>
      </c>
      <c r="AH54">
        <f>IF(N54="","",IF(ISNUMBER(SEARCH("coupon",N54))+ISNUMBER(SEARCH("sale",N54))+ISNUMBER(SEARCH("kept-vs-returned",N54))+ISNUMBER(SEARCH("sentence",N54))+ISNUMBER(SEARCH("stays with",N54))+ISNUMBER(SEARCH("side-by-side",N54)),IF(ISNUMBER(SEARCH("kept-vs-returned",N54))+ISNUMBER(SEARCH("sentence",N54))+ISNUMBER(SEARCH("stays with",N54))+ISNUMBER(SEARCH("side-by-side",N54)),"legal_present",IF(ISNUMBER(SEARCH("coupon",N54))+ISNUMBER(SEARCH("sale",N54)),"coupon_only","other")),"other"))</f>
        <v/>
      </c>
    </row>
    <row r="55" ht="18" customHeight="1">
      <c r="AE55">
        <f>IF(C55="","",IF(AND(D55="Woman",E55="24–32",OR(F55="Bengaluru",F55="Hyderabad",F55="Delhi",F55="Gurugram",F55="Noida",F55="Coimbatore"),OR(G55="15–40",G55="41–80",G55="81+"),H55="Yes",OR(I55="Most days",I55="About weekly")),"YES","NO"))</f>
        <v/>
      </c>
      <c r="AF55">
        <f>IF(L55="","",IF(ISNUMBER(SEARCH("fit",L55)),"fit",IF(ISNUMBER(SEARCH("return",L55))+ISNUMBER(SEARCH("seal",L55)),"return",IF(ISNUMBER(SEARCH("chart",L55)),"chart",IF(ISNUMBER(SEARCH("choose",L55)),"compare",IF(ISNUMBER(SEARCH("sale",L55)),"sale",IF(ISNUMBER(SEARCH("never",L55)),"bookmark",IF(ISNUMBER(SEARCH("mess",L55)),"clutter",IF(ISNUMBER(SEARCH("wear it",L55)),"occasion",IF(ISNUMBER(SEARCH("quality",L55)),"quality","other"))))))))))</f>
        <v/>
      </c>
      <c r="AG55">
        <f>IF(Q55="","",IF(OR(ISNUMBER(SEARCH("WhatsApp",Q55)),ISNUMBER(SEARCH("YouTube",Q55)),ISNUMBER(SEARCH("Instagram",Q55)),ISNUMBER(SEARCH("Google",Q55)),ISNUMBER(SEARCH("store",Q55)),ISNUMBER(SEARCH("two sizes",Q55))),"off_app","in_app"))</f>
        <v/>
      </c>
      <c r="AH55">
        <f>IF(N55="","",IF(ISNUMBER(SEARCH("coupon",N55))+ISNUMBER(SEARCH("sale",N55))+ISNUMBER(SEARCH("kept-vs-returned",N55))+ISNUMBER(SEARCH("sentence",N55))+ISNUMBER(SEARCH("stays with",N55))+ISNUMBER(SEARCH("side-by-side",N55)),IF(ISNUMBER(SEARCH("kept-vs-returned",N55))+ISNUMBER(SEARCH("sentence",N55))+ISNUMBER(SEARCH("stays with",N55))+ISNUMBER(SEARCH("side-by-side",N55)),"legal_present",IF(ISNUMBER(SEARCH("coupon",N55))+ISNUMBER(SEARCH("sale",N55)),"coupon_only","other")),"other"))</f>
        <v/>
      </c>
    </row>
    <row r="56" ht="18" customHeight="1">
      <c r="AE56">
        <f>IF(C56="","",IF(AND(D56="Woman",E56="24–32",OR(F56="Bengaluru",F56="Hyderabad",F56="Delhi",F56="Gurugram",F56="Noida",F56="Coimbatore"),OR(G56="15–40",G56="41–80",G56="81+"),H56="Yes",OR(I56="Most days",I56="About weekly")),"YES","NO"))</f>
        <v/>
      </c>
      <c r="AF56">
        <f>IF(L56="","",IF(ISNUMBER(SEARCH("fit",L56)),"fit",IF(ISNUMBER(SEARCH("return",L56))+ISNUMBER(SEARCH("seal",L56)),"return",IF(ISNUMBER(SEARCH("chart",L56)),"chart",IF(ISNUMBER(SEARCH("choose",L56)),"compare",IF(ISNUMBER(SEARCH("sale",L56)),"sale",IF(ISNUMBER(SEARCH("never",L56)),"bookmark",IF(ISNUMBER(SEARCH("mess",L56)),"clutter",IF(ISNUMBER(SEARCH("wear it",L56)),"occasion",IF(ISNUMBER(SEARCH("quality",L56)),"quality","other"))))))))))</f>
        <v/>
      </c>
      <c r="AG56">
        <f>IF(Q56="","",IF(OR(ISNUMBER(SEARCH("WhatsApp",Q56)),ISNUMBER(SEARCH("YouTube",Q56)),ISNUMBER(SEARCH("Instagram",Q56)),ISNUMBER(SEARCH("Google",Q56)),ISNUMBER(SEARCH("store",Q56)),ISNUMBER(SEARCH("two sizes",Q56))),"off_app","in_app"))</f>
        <v/>
      </c>
      <c r="AH56">
        <f>IF(N56="","",IF(ISNUMBER(SEARCH("coupon",N56))+ISNUMBER(SEARCH("sale",N56))+ISNUMBER(SEARCH("kept-vs-returned",N56))+ISNUMBER(SEARCH("sentence",N56))+ISNUMBER(SEARCH("stays with",N56))+ISNUMBER(SEARCH("side-by-side",N56)),IF(ISNUMBER(SEARCH("kept-vs-returned",N56))+ISNUMBER(SEARCH("sentence",N56))+ISNUMBER(SEARCH("stays with",N56))+ISNUMBER(SEARCH("side-by-side",N56)),"legal_present",IF(ISNUMBER(SEARCH("coupon",N56))+ISNUMBER(SEARCH("sale",N56)),"coupon_only","other")),"other"))</f>
        <v/>
      </c>
    </row>
    <row r="57" ht="18" customHeight="1">
      <c r="AE57">
        <f>IF(C57="","",IF(AND(D57="Woman",E57="24–32",OR(F57="Bengaluru",F57="Hyderabad",F57="Delhi",F57="Gurugram",F57="Noida",F57="Coimbatore"),OR(G57="15–40",G57="41–80",G57="81+"),H57="Yes",OR(I57="Most days",I57="About weekly")),"YES","NO"))</f>
        <v/>
      </c>
      <c r="AF57">
        <f>IF(L57="","",IF(ISNUMBER(SEARCH("fit",L57)),"fit",IF(ISNUMBER(SEARCH("return",L57))+ISNUMBER(SEARCH("seal",L57)),"return",IF(ISNUMBER(SEARCH("chart",L57)),"chart",IF(ISNUMBER(SEARCH("choose",L57)),"compare",IF(ISNUMBER(SEARCH("sale",L57)),"sale",IF(ISNUMBER(SEARCH("never",L57)),"bookmark",IF(ISNUMBER(SEARCH("mess",L57)),"clutter",IF(ISNUMBER(SEARCH("wear it",L57)),"occasion",IF(ISNUMBER(SEARCH("quality",L57)),"quality","other"))))))))))</f>
        <v/>
      </c>
      <c r="AG57">
        <f>IF(Q57="","",IF(OR(ISNUMBER(SEARCH("WhatsApp",Q57)),ISNUMBER(SEARCH("YouTube",Q57)),ISNUMBER(SEARCH("Instagram",Q57)),ISNUMBER(SEARCH("Google",Q57)),ISNUMBER(SEARCH("store",Q57)),ISNUMBER(SEARCH("two sizes",Q57))),"off_app","in_app"))</f>
        <v/>
      </c>
      <c r="AH57">
        <f>IF(N57="","",IF(ISNUMBER(SEARCH("coupon",N57))+ISNUMBER(SEARCH("sale",N57))+ISNUMBER(SEARCH("kept-vs-returned",N57))+ISNUMBER(SEARCH("sentence",N57))+ISNUMBER(SEARCH("stays with",N57))+ISNUMBER(SEARCH("side-by-side",N57)),IF(ISNUMBER(SEARCH("kept-vs-returned",N57))+ISNUMBER(SEARCH("sentence",N57))+ISNUMBER(SEARCH("stays with",N57))+ISNUMBER(SEARCH("side-by-side",N57)),"legal_present",IF(ISNUMBER(SEARCH("coupon",N57))+ISNUMBER(SEARCH("sale",N57)),"coupon_only","other")),"other"))</f>
        <v/>
      </c>
    </row>
    <row r="58" ht="18" customHeight="1">
      <c r="AE58">
        <f>IF(C58="","",IF(AND(D58="Woman",E58="24–32",OR(F58="Bengaluru",F58="Hyderabad",F58="Delhi",F58="Gurugram",F58="Noida",F58="Coimbatore"),OR(G58="15–40",G58="41–80",G58="81+"),H58="Yes",OR(I58="Most days",I58="About weekly")),"YES","NO"))</f>
        <v/>
      </c>
      <c r="AF58">
        <f>IF(L58="","",IF(ISNUMBER(SEARCH("fit",L58)),"fit",IF(ISNUMBER(SEARCH("return",L58))+ISNUMBER(SEARCH("seal",L58)),"return",IF(ISNUMBER(SEARCH("chart",L58)),"chart",IF(ISNUMBER(SEARCH("choose",L58)),"compare",IF(ISNUMBER(SEARCH("sale",L58)),"sale",IF(ISNUMBER(SEARCH("never",L58)),"bookmark",IF(ISNUMBER(SEARCH("mess",L58)),"clutter",IF(ISNUMBER(SEARCH("wear it",L58)),"occasion",IF(ISNUMBER(SEARCH("quality",L58)),"quality","other"))))))))))</f>
        <v/>
      </c>
      <c r="AG58">
        <f>IF(Q58="","",IF(OR(ISNUMBER(SEARCH("WhatsApp",Q58)),ISNUMBER(SEARCH("YouTube",Q58)),ISNUMBER(SEARCH("Instagram",Q58)),ISNUMBER(SEARCH("Google",Q58)),ISNUMBER(SEARCH("store",Q58)),ISNUMBER(SEARCH("two sizes",Q58))),"off_app","in_app"))</f>
        <v/>
      </c>
      <c r="AH58">
        <f>IF(N58="","",IF(ISNUMBER(SEARCH("coupon",N58))+ISNUMBER(SEARCH("sale",N58))+ISNUMBER(SEARCH("kept-vs-returned",N58))+ISNUMBER(SEARCH("sentence",N58))+ISNUMBER(SEARCH("stays with",N58))+ISNUMBER(SEARCH("side-by-side",N58)),IF(ISNUMBER(SEARCH("kept-vs-returned",N58))+ISNUMBER(SEARCH("sentence",N58))+ISNUMBER(SEARCH("stays with",N58))+ISNUMBER(SEARCH("side-by-side",N58)),"legal_present",IF(ISNUMBER(SEARCH("coupon",N58))+ISNUMBER(SEARCH("sale",N58)),"coupon_only","other")),"other"))</f>
        <v/>
      </c>
    </row>
    <row r="59" ht="18" customHeight="1">
      <c r="AE59">
        <f>IF(C59="","",IF(AND(D59="Woman",E59="24–32",OR(F59="Bengaluru",F59="Hyderabad",F59="Delhi",F59="Gurugram",F59="Noida",F59="Coimbatore"),OR(G59="15–40",G59="41–80",G59="81+"),H59="Yes",OR(I59="Most days",I59="About weekly")),"YES","NO"))</f>
        <v/>
      </c>
      <c r="AF59">
        <f>IF(L59="","",IF(ISNUMBER(SEARCH("fit",L59)),"fit",IF(ISNUMBER(SEARCH("return",L59))+ISNUMBER(SEARCH("seal",L59)),"return",IF(ISNUMBER(SEARCH("chart",L59)),"chart",IF(ISNUMBER(SEARCH("choose",L59)),"compare",IF(ISNUMBER(SEARCH("sale",L59)),"sale",IF(ISNUMBER(SEARCH("never",L59)),"bookmark",IF(ISNUMBER(SEARCH("mess",L59)),"clutter",IF(ISNUMBER(SEARCH("wear it",L59)),"occasion",IF(ISNUMBER(SEARCH("quality",L59)),"quality","other"))))))))))</f>
        <v/>
      </c>
      <c r="AG59">
        <f>IF(Q59="","",IF(OR(ISNUMBER(SEARCH("WhatsApp",Q59)),ISNUMBER(SEARCH("YouTube",Q59)),ISNUMBER(SEARCH("Instagram",Q59)),ISNUMBER(SEARCH("Google",Q59)),ISNUMBER(SEARCH("store",Q59)),ISNUMBER(SEARCH("two sizes",Q59))),"off_app","in_app"))</f>
        <v/>
      </c>
      <c r="AH59">
        <f>IF(N59="","",IF(ISNUMBER(SEARCH("coupon",N59))+ISNUMBER(SEARCH("sale",N59))+ISNUMBER(SEARCH("kept-vs-returned",N59))+ISNUMBER(SEARCH("sentence",N59))+ISNUMBER(SEARCH("stays with",N59))+ISNUMBER(SEARCH("side-by-side",N59)),IF(ISNUMBER(SEARCH("kept-vs-returned",N59))+ISNUMBER(SEARCH("sentence",N59))+ISNUMBER(SEARCH("stays with",N59))+ISNUMBER(SEARCH("side-by-side",N59)),"legal_present",IF(ISNUMBER(SEARCH("coupon",N59))+ISNUMBER(SEARCH("sale",N59)),"coupon_only","other")),"other"))</f>
        <v/>
      </c>
    </row>
    <row r="60">
      <c r="A60" s="7" t="inlineStr">
        <is>
          <t>Sample rows are filled. Paste live Form answers over Timestamp…Q13. Do not delete formula columns in_target / q3_code / off_app / legal_lever.</t>
        </is>
      </c>
    </row>
  </sheetData>
  <autoFilter ref="A1:AH59"/>
  <mergeCells count="1">
    <mergeCell ref="A60:H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22" customWidth="1" min="3" max="3"/>
  </cols>
  <sheetData>
    <row r="1" ht="24" customHeight="1">
      <c r="A1" s="8" t="inlineStr">
        <is>
          <t>Cuts that update from Responses (target = in_target YES)</t>
        </is>
      </c>
    </row>
    <row r="3">
      <c r="A3" s="9" t="inlineStr">
        <is>
          <t>Cut</t>
        </is>
      </c>
      <c r="B3" s="9" t="inlineStr">
        <is>
          <t>How to read it</t>
        </is>
      </c>
      <c r="C3" s="9" t="inlineStr">
        <is>
          <t>Count / share</t>
        </is>
      </c>
    </row>
    <row r="4">
      <c r="A4" s="10" t="inlineStr">
        <is>
          <t>N with timestamp</t>
        </is>
      </c>
      <c r="B4" s="6" t="inlineStr">
        <is>
          <t>Started the form</t>
        </is>
      </c>
      <c r="C4" s="10">
        <f>COUNTA(Responses!A2:A59)</f>
        <v/>
      </c>
    </row>
    <row r="5">
      <c r="A5" s="10" t="inlineStr">
        <is>
          <t>N in_target</t>
        </is>
      </c>
      <c r="B5" s="6" t="inlineStr">
        <is>
          <t>Woman 24–32 metro 15+ weekly delayed save</t>
        </is>
      </c>
      <c r="C5" s="10">
        <f>COUNTIF(Responses!AE2:AE59,"YES")</f>
        <v/>
      </c>
    </row>
    <row r="6">
      <c r="A6" s="10" t="inlineStr">
        <is>
          <t>Target · still intend Yes</t>
        </is>
      </c>
      <c r="B6" s="6" t="inlineStr">
        <is>
          <t>North-star population inside target</t>
        </is>
      </c>
      <c r="C6" s="10">
        <f>COUNTIFS(Responses!AE2:AE59,"YES",Responses!K2:K59,"Yes")</f>
        <v/>
      </c>
    </row>
    <row r="7">
      <c r="A7" s="10" t="inlineStr">
        <is>
          <t>Target · Q3 = fit</t>
        </is>
      </c>
      <c r="B7" s="6" t="inlineStr">
        <is>
          <t>Legal primary freeze</t>
        </is>
      </c>
      <c r="C7" s="10">
        <f>COUNTIFS(Responses!AE2:AE59,"YES",Responses!AF2:AF59,"fit")</f>
        <v/>
      </c>
    </row>
    <row r="8">
      <c r="A8" s="10" t="inlineStr">
        <is>
          <t>Target · Q3 = return</t>
        </is>
      </c>
      <c r="B8" s="6" t="inlineStr">
        <is>
          <t>Co-primary</t>
        </is>
      </c>
      <c r="C8" s="10">
        <f>COUNTIFS(Responses!AE2:AE59,"YES",Responses!AF2:AF59,"return")</f>
        <v/>
      </c>
    </row>
    <row r="9">
      <c r="A9" s="10" t="inlineStr">
        <is>
          <t>Target · Q3 = sale</t>
        </is>
      </c>
      <c r="B9" s="6" t="inlineStr">
        <is>
          <t>Rank. Do not ship.</t>
        </is>
      </c>
      <c r="C9" s="10">
        <f>COUNTIFS(Responses!AE2:AE59,"YES",Responses!AF2:AF59,"sale")</f>
        <v/>
      </c>
    </row>
    <row r="10">
      <c r="A10" s="10" t="inlineStr">
        <is>
          <t>Target · Q3 = bookmark</t>
        </is>
      </c>
      <c r="B10" s="6" t="inlineStr">
        <is>
          <t>Still exploring. Do not convert.</t>
        </is>
      </c>
      <c r="C10" s="10">
        <f>COUNTIFS(Responses!AE2:AE59,"YES",Responses!AF2:AF59,"bookmark")</f>
        <v/>
      </c>
    </row>
    <row r="11">
      <c r="A11" s="10" t="inlineStr">
        <is>
          <t>Target · PDP story vanished (Q10a Yes)</t>
        </is>
      </c>
      <c r="B11" s="6" t="inlineStr">
        <is>
          <t>Mechanism for Verdict on the card</t>
        </is>
      </c>
      <c r="C11" s="10">
        <f>COUNTIFS(Responses!AE2:AE59,"YES",Responses!S2:S59,"Yes")</f>
        <v/>
      </c>
    </row>
    <row r="12">
      <c r="A12" s="10" t="inlineStr">
        <is>
          <t>Target · wishlist is moodboard (Q12)</t>
        </is>
      </c>
      <c r="B12" s="6" t="inlineStr">
        <is>
          <t>Over-nudge guardrail</t>
        </is>
      </c>
      <c r="C12" s="10">
        <f>COUNTIFS(Responses!AE2:AE59,"YES",Responses!Y2:Y59,"A moodboard / Pinterest")</f>
        <v/>
      </c>
    </row>
    <row r="13">
      <c r="A13" s="6" t="inlineStr">
        <is>
          <t>% of target whose Q3 is fit</t>
        </is>
      </c>
      <c r="B13" s="6" t="inlineStr">
        <is>
          <t>If sale &gt; fit, still do not coupon. Check Q9 for risk-offset.</t>
        </is>
      </c>
      <c r="C13" s="11">
        <f>IF(C5=0,"",C7/C5)</f>
        <v/>
      </c>
    </row>
    <row r="14">
      <c r="A14" s="6" t="inlineStr">
        <is>
          <t>% of target whose Q3 is sale</t>
        </is>
      </c>
      <c r="B14" s="6" t="inlineStr">
        <is>
          <t>DISQUALIFIED lever frequency</t>
        </is>
      </c>
      <c r="C14" s="11">
        <f>IF(C5=0,"",C9/C5)</f>
        <v/>
      </c>
    </row>
    <row r="16">
      <c r="A16" s="7" t="inlineStr">
        <is>
          <t>Share this xlsx (or the live Google Sheet view link) as the supporting URL. Form URL is a slot on Docs until you paste it.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2026-08-18T10:20:04Z</dcterms:created>
  <dcterms:modified xsi:type="dcterms:W3CDTF">2026-08-18T10:20:04Z</dcterms:modified>
</cp:coreProperties>
</file>